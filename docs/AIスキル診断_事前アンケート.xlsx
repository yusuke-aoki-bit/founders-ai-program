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設定" sheetId="1" state="visible" r:id="rId3"/>
    <sheet name="はじめに" sheetId="2" state="visible" r:id="rId4"/>
    <sheet name="①基本情報" sheetId="3" state="visible" r:id="rId5"/>
    <sheet name="②AIスキル診断" sheetId="4" state="visible" r:id="rId6"/>
    <sheet name="③業務の困りごと" sheetId="5" state="visible" r:id="rId7"/>
    <sheet name="④ご要望" sheetId="6" state="visible" r:id="rId8"/>
    <sheet name="診断結果" sheetId="7" state="visible" r:id="rId9"/>
    <sheet name="講師用_集計"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<sst xmlns="http://schemas.openxmlformats.org/spreadsheetml/2006/main" count="193" uniqueCount="177">
  <si>
    <t xml:space="preserve">◆ 選択肢マスタ（このシートは編集しないでください）</t>
  </si>
  <si>
    <t xml:space="preserve">利用頻度スケール</t>
  </si>
  <si>
    <t xml:space="preserve">あてはまり度スケール</t>
  </si>
  <si>
    <r>
      <rPr>
        <b val="true"/>
        <sz val="10"/>
        <rFont val="Arial"/>
        <family val="0"/>
        <charset val="1"/>
      </rPr>
      <t xml:space="preserve">AI</t>
    </r>
    <r>
      <rPr>
        <b val="true"/>
        <sz val="10"/>
        <rFont val="Noto Sans CJK SC"/>
        <family val="2"/>
      </rPr>
      <t xml:space="preserve">化したい度</t>
    </r>
  </si>
  <si>
    <r>
      <rPr>
        <sz val="10"/>
        <rFont val="Arial"/>
        <family val="0"/>
        <charset val="1"/>
      </rPr>
      <t xml:space="preserve">0</t>
    </r>
    <r>
      <rPr>
        <sz val="10"/>
        <rFont val="Noto Sans CJK SC"/>
        <family val="2"/>
      </rPr>
      <t xml:space="preserve">：使っていない</t>
    </r>
  </si>
  <si>
    <r>
      <rPr>
        <sz val="10"/>
        <rFont val="Arial"/>
        <family val="0"/>
        <charset val="1"/>
      </rPr>
      <t xml:space="preserve">0</t>
    </r>
    <r>
      <rPr>
        <sz val="10"/>
        <rFont val="Noto Sans CJK SC"/>
        <family val="2"/>
      </rPr>
      <t xml:space="preserve">：全くあてはまらない</t>
    </r>
  </si>
  <si>
    <r>
      <rPr>
        <sz val="10"/>
        <rFont val="Arial"/>
        <family val="0"/>
        <charset val="1"/>
      </rPr>
      <t xml:space="preserve">0</t>
    </r>
    <r>
      <rPr>
        <sz val="10"/>
        <rFont val="Noto Sans CJK SC"/>
        <family val="2"/>
      </rPr>
      <t xml:space="preserve">：必要ない</t>
    </r>
  </si>
  <si>
    <r>
      <rPr>
        <sz val="10"/>
        <rFont val="Arial"/>
        <family val="0"/>
        <charset val="1"/>
      </rPr>
      <t xml:space="preserve">1</t>
    </r>
    <r>
      <rPr>
        <sz val="10"/>
        <rFont val="Noto Sans CJK SC"/>
        <family val="2"/>
      </rPr>
      <t xml:space="preserve">：数回試した程度</t>
    </r>
  </si>
  <si>
    <r>
      <rPr>
        <sz val="10"/>
        <rFont val="Arial"/>
        <family val="0"/>
        <charset val="1"/>
      </rPr>
      <t xml:space="preserve">1</t>
    </r>
    <r>
      <rPr>
        <sz val="10"/>
        <rFont val="Noto Sans CJK SC"/>
        <family val="2"/>
      </rPr>
      <t xml:space="preserve">：あまりあてはまらない</t>
    </r>
  </si>
  <si>
    <r>
      <rPr>
        <sz val="10"/>
        <rFont val="Arial"/>
        <family val="0"/>
        <charset val="1"/>
      </rPr>
      <t xml:space="preserve">1</t>
    </r>
    <r>
      <rPr>
        <sz val="10"/>
        <rFont val="Noto Sans CJK SC"/>
        <family val="2"/>
      </rPr>
      <t xml:space="preserve">：あまり困っていない</t>
    </r>
  </si>
  <si>
    <r>
      <rPr>
        <sz val="10"/>
        <rFont val="Arial"/>
        <family val="0"/>
        <charset val="1"/>
      </rPr>
      <t xml:space="preserve">2</t>
    </r>
    <r>
      <rPr>
        <sz val="10"/>
        <rFont val="Noto Sans CJK SC"/>
        <family val="2"/>
      </rPr>
      <t xml:space="preserve">：月に数回</t>
    </r>
  </si>
  <si>
    <r>
      <rPr>
        <sz val="10"/>
        <rFont val="Arial"/>
        <family val="0"/>
        <charset val="1"/>
      </rPr>
      <t xml:space="preserve">2</t>
    </r>
    <r>
      <rPr>
        <sz val="10"/>
        <rFont val="Noto Sans CJK SC"/>
        <family val="2"/>
      </rPr>
      <t xml:space="preserve">：どちらとも言えない</t>
    </r>
  </si>
  <si>
    <r>
      <rPr>
        <sz val="10"/>
        <rFont val="Arial"/>
        <family val="0"/>
        <charset val="1"/>
      </rPr>
      <t xml:space="preserve">2</t>
    </r>
    <r>
      <rPr>
        <sz val="10"/>
        <rFont val="Noto Sans CJK SC"/>
        <family val="2"/>
      </rPr>
      <t xml:space="preserve">：できれば楽にしたい</t>
    </r>
  </si>
  <si>
    <r>
      <rPr>
        <sz val="10"/>
        <rFont val="Arial"/>
        <family val="0"/>
        <charset val="1"/>
      </rPr>
      <t xml:space="preserve">3</t>
    </r>
    <r>
      <rPr>
        <sz val="10"/>
        <rFont val="Noto Sans CJK SC"/>
        <family val="2"/>
      </rPr>
      <t xml:space="preserve">：週に数回</t>
    </r>
  </si>
  <si>
    <r>
      <rPr>
        <sz val="10"/>
        <rFont val="Arial"/>
        <family val="0"/>
        <charset val="1"/>
      </rPr>
      <t xml:space="preserve">3</t>
    </r>
    <r>
      <rPr>
        <sz val="10"/>
        <rFont val="Noto Sans CJK SC"/>
        <family val="2"/>
      </rPr>
      <t xml:space="preserve">：ややあてはまる</t>
    </r>
  </si>
  <si>
    <r>
      <rPr>
        <sz val="10"/>
        <rFont val="Arial"/>
        <family val="0"/>
        <charset val="1"/>
      </rPr>
      <t xml:space="preserve">3</t>
    </r>
    <r>
      <rPr>
        <sz val="10"/>
        <rFont val="Noto Sans CJK SC"/>
        <family val="2"/>
      </rPr>
      <t xml:space="preserve">：かなり困っている</t>
    </r>
  </si>
  <si>
    <r>
      <rPr>
        <sz val="10"/>
        <rFont val="Arial"/>
        <family val="0"/>
        <charset val="1"/>
      </rPr>
      <t xml:space="preserve">4</t>
    </r>
    <r>
      <rPr>
        <sz val="10"/>
        <rFont val="Noto Sans CJK SC"/>
        <family val="2"/>
      </rPr>
      <t xml:space="preserve">：ほぼ毎日</t>
    </r>
  </si>
  <si>
    <r>
      <rPr>
        <sz val="10"/>
        <rFont val="Arial"/>
        <family val="0"/>
        <charset val="1"/>
      </rPr>
      <t xml:space="preserve">4</t>
    </r>
    <r>
      <rPr>
        <sz val="10"/>
        <rFont val="Noto Sans CJK SC"/>
        <family val="2"/>
      </rPr>
      <t xml:space="preserve">：とてもあてはまる</t>
    </r>
  </si>
  <si>
    <r>
      <rPr>
        <sz val="10"/>
        <rFont val="Arial"/>
        <family val="0"/>
        <charset val="1"/>
      </rPr>
      <t xml:space="preserve">4</t>
    </r>
    <r>
      <rPr>
        <sz val="10"/>
        <rFont val="Noto Sans CJK SC"/>
        <family val="2"/>
      </rPr>
      <t xml:space="preserve">：最優先で解決したい</t>
    </r>
  </si>
  <si>
    <t xml:space="preserve">レベル判定表</t>
  </si>
  <si>
    <t xml:space="preserve">下限</t>
  </si>
  <si>
    <t xml:space="preserve">上限</t>
  </si>
  <si>
    <t xml:space="preserve">レベル</t>
  </si>
  <si>
    <t xml:space="preserve">講評</t>
  </si>
  <si>
    <r>
      <rPr>
        <sz val="10"/>
        <rFont val="Arial"/>
        <family val="0"/>
        <charset val="1"/>
      </rPr>
      <t xml:space="preserve">Lv.1  </t>
    </r>
    <r>
      <rPr>
        <sz val="10"/>
        <rFont val="Noto Sans CJK SC"/>
        <family val="2"/>
      </rPr>
      <t xml:space="preserve">未着手</t>
    </r>
  </si>
  <si>
    <r>
      <rPr>
        <sz val="10"/>
        <rFont val="Arial"/>
        <family val="0"/>
        <charset val="1"/>
      </rPr>
      <t xml:space="preserve">AI</t>
    </r>
    <r>
      <rPr>
        <sz val="10"/>
        <rFont val="Noto Sans CJK SC"/>
        <family val="2"/>
      </rPr>
      <t xml:space="preserve">にほとんど触れていない段階。まず「自分が</t>
    </r>
    <r>
      <rPr>
        <sz val="10"/>
        <rFont val="Arial"/>
        <family val="0"/>
        <charset val="1"/>
      </rPr>
      <t xml:space="preserve">1</t>
    </r>
    <r>
      <rPr>
        <sz val="10"/>
        <rFont val="Noto Sans CJK SC"/>
        <family val="2"/>
      </rPr>
      <t xml:space="preserve">日</t>
    </r>
    <r>
      <rPr>
        <sz val="10"/>
        <rFont val="Arial"/>
        <family val="0"/>
        <charset val="1"/>
      </rPr>
      <t xml:space="preserve">1</t>
    </r>
    <r>
      <rPr>
        <sz val="10"/>
        <rFont val="Noto Sans CJK SC"/>
        <family val="2"/>
      </rPr>
      <t xml:space="preserve">回使う」ところから。</t>
    </r>
  </si>
  <si>
    <r>
      <rPr>
        <sz val="10"/>
        <rFont val="Arial"/>
        <family val="0"/>
        <charset val="1"/>
      </rPr>
      <t xml:space="preserve">Lv.2  </t>
    </r>
    <r>
      <rPr>
        <sz val="10"/>
        <rFont val="Noto Sans CJK SC"/>
        <family val="2"/>
      </rPr>
      <t xml:space="preserve">お試し</t>
    </r>
  </si>
  <si>
    <t xml:space="preserve">触ってはいるが単発利用。使いどころを決めて習慣化する段階。</t>
  </si>
  <si>
    <r>
      <rPr>
        <sz val="10"/>
        <rFont val="Arial"/>
        <family val="0"/>
        <charset val="1"/>
      </rPr>
      <t xml:space="preserve">Lv.3  </t>
    </r>
    <r>
      <rPr>
        <sz val="10"/>
        <rFont val="Noto Sans CJK SC"/>
        <family val="2"/>
      </rPr>
      <t xml:space="preserve">個人活用</t>
    </r>
  </si>
  <si>
    <t xml:space="preserve">自分の仕事では使えている。社内に横展開する型づくりが次の壁。</t>
  </si>
  <si>
    <r>
      <rPr>
        <sz val="10"/>
        <rFont val="Arial"/>
        <family val="0"/>
        <charset val="1"/>
      </rPr>
      <t xml:space="preserve">Lv.4  </t>
    </r>
    <r>
      <rPr>
        <sz val="10"/>
        <rFont val="Noto Sans CJK SC"/>
        <family val="2"/>
      </rPr>
      <t xml:space="preserve">業務組込</t>
    </r>
  </si>
  <si>
    <t xml:space="preserve">業務プロセスに組み込み済み。ルール整備と投資判断が論点。</t>
  </si>
  <si>
    <r>
      <rPr>
        <sz val="10"/>
        <rFont val="Arial"/>
        <family val="0"/>
        <charset val="1"/>
      </rPr>
      <t xml:space="preserve">Lv.5  </t>
    </r>
    <r>
      <rPr>
        <sz val="10"/>
        <rFont val="Noto Sans CJK SC"/>
        <family val="2"/>
      </rPr>
      <t xml:space="preserve">組織展開</t>
    </r>
  </si>
  <si>
    <t xml:space="preserve">組織的に運用中。他社を牽引できる。事業モデル側への応用が次段階。</t>
  </si>
  <si>
    <r>
      <rPr>
        <b val="true"/>
        <sz val="14"/>
        <color rgb="FFFFFFFF"/>
        <rFont val="Noto Sans CJK SC"/>
        <family val="2"/>
      </rPr>
      <t xml:space="preserve">経営者のための</t>
    </r>
    <r>
      <rPr>
        <b val="true"/>
        <sz val="14"/>
        <color rgb="FFFFFFFF"/>
        <rFont val="Arial"/>
        <family val="0"/>
        <charset val="1"/>
      </rPr>
      <t xml:space="preserve">AI</t>
    </r>
    <r>
      <rPr>
        <b val="true"/>
        <sz val="14"/>
        <color rgb="FFFFFFFF"/>
        <rFont val="Noto Sans CJK SC"/>
        <family val="2"/>
      </rPr>
      <t xml:space="preserve">実装講座　事前アンケート／</t>
    </r>
    <r>
      <rPr>
        <b val="true"/>
        <sz val="14"/>
        <color rgb="FFFFFFFF"/>
        <rFont val="Arial"/>
        <family val="0"/>
        <charset val="1"/>
      </rPr>
      <t xml:space="preserve">AI</t>
    </r>
    <r>
      <rPr>
        <b val="true"/>
        <sz val="14"/>
        <color rgb="FFFFFFFF"/>
        <rFont val="Noto Sans CJK SC"/>
        <family val="2"/>
      </rPr>
      <t xml:space="preserve">スキル診断シート</t>
    </r>
  </si>
  <si>
    <t xml:space="preserve">■ 目的</t>
  </si>
  <si>
    <r>
      <rPr>
        <sz val="10"/>
        <rFont val="Noto Sans CJK SC"/>
        <family val="2"/>
      </rPr>
      <t xml:space="preserve">本講座は「知識を聞く」講座ではなく、全</t>
    </r>
    <r>
      <rPr>
        <sz val="10"/>
        <rFont val="Arial"/>
        <family val="0"/>
        <charset val="1"/>
      </rPr>
      <t xml:space="preserve">12</t>
    </r>
    <r>
      <rPr>
        <sz val="10"/>
        <rFont val="Noto Sans CJK SC"/>
        <family val="2"/>
      </rPr>
      <t xml:space="preserve">回で自社の</t>
    </r>
    <r>
      <rPr>
        <sz val="10"/>
        <rFont val="Arial"/>
        <family val="0"/>
        <charset val="1"/>
      </rPr>
      <t xml:space="preserve">AI</t>
    </r>
    <r>
      <rPr>
        <sz val="10"/>
        <rFont val="Noto Sans CJK SC"/>
        <family val="2"/>
      </rPr>
      <t xml:space="preserve">業務を立ち上げる実践講座です。</t>
    </r>
  </si>
  <si>
    <t xml:space="preserve">受講者ごとに出発点が大きく異なるため、事前に現在地を教えていただき、</t>
  </si>
  <si>
    <t xml:space="preserve">各回の演習題材と個別アドバイスをあなたの会社に合わせて調整します。</t>
  </si>
  <si>
    <t xml:space="preserve">■ 記入方法</t>
  </si>
  <si>
    <t xml:space="preserve">① シート「①基本情報」に会社と役職の情報をご記入ください。</t>
  </si>
  <si>
    <r>
      <rPr>
        <sz val="10"/>
        <rFont val="Noto Sans CJK SC"/>
        <family val="2"/>
      </rPr>
      <t xml:space="preserve">② シート「②</t>
    </r>
    <r>
      <rPr>
        <sz val="10"/>
        <rFont val="Arial"/>
        <family val="0"/>
        <charset val="1"/>
      </rPr>
      <t xml:space="preserve">AI</t>
    </r>
    <r>
      <rPr>
        <sz val="10"/>
        <rFont val="Noto Sans CJK SC"/>
        <family val="2"/>
      </rPr>
      <t xml:space="preserve">スキル診断」の全</t>
    </r>
    <r>
      <rPr>
        <sz val="10"/>
        <rFont val="Arial"/>
        <family val="0"/>
        <charset val="1"/>
      </rPr>
      <t xml:space="preserve">20</t>
    </r>
    <r>
      <rPr>
        <sz val="10"/>
        <rFont val="Noto Sans CJK SC"/>
        <family val="2"/>
      </rPr>
      <t xml:space="preserve">問に、プルダウンから最も近いものを選んでください。</t>
    </r>
  </si>
  <si>
    <t xml:space="preserve">③ シート「③業務の困りごと」に、時間がかかっている業務をご記入ください（最重要）。</t>
  </si>
  <si>
    <t xml:space="preserve">④ シート「④ご要望」に、期待することと不安なことを自由にお書きください。</t>
  </si>
  <si>
    <t xml:space="preserve">⑤ シート「診断結果」は自動で計算されます。記入不要です。</t>
  </si>
  <si>
    <t xml:space="preserve">■ 所要時間</t>
  </si>
  <si>
    <r>
      <rPr>
        <sz val="10"/>
        <rFont val="Noto Sans CJK SC"/>
        <family val="2"/>
      </rPr>
      <t xml:space="preserve">約</t>
    </r>
    <r>
      <rPr>
        <sz val="10"/>
        <rFont val="Arial"/>
        <family val="0"/>
        <charset val="1"/>
      </rPr>
      <t xml:space="preserve">10</t>
    </r>
    <r>
      <rPr>
        <sz val="10"/>
        <rFont val="Noto Sans CJK SC"/>
        <family val="2"/>
      </rPr>
      <t xml:space="preserve">〜</t>
    </r>
    <r>
      <rPr>
        <sz val="10"/>
        <rFont val="Arial"/>
        <family val="0"/>
        <charset val="1"/>
      </rPr>
      <t xml:space="preserve">15</t>
    </r>
    <r>
      <rPr>
        <sz val="10"/>
        <rFont val="Noto Sans CJK SC"/>
        <family val="2"/>
      </rPr>
      <t xml:space="preserve">分です。正解を答える必要はありません。素直な現状をご記入ください。</t>
    </r>
  </si>
  <si>
    <t xml:space="preserve">点数が低いことは全く問題ありません。むしろ伸びしろの大きさを示します。</t>
  </si>
  <si>
    <t xml:space="preserve">■ ご記入いただく箇所</t>
  </si>
  <si>
    <t xml:space="preserve">黄色に塗られたセルのみご記入ください。それ以外は自動計算・固定文言です。</t>
  </si>
  <si>
    <t xml:space="preserve">■ 提出</t>
  </si>
  <si>
    <r>
      <rPr>
        <sz val="10"/>
        <rFont val="Noto Sans CJK SC"/>
        <family val="2"/>
      </rPr>
      <t xml:space="preserve">ファイル名を「</t>
    </r>
    <r>
      <rPr>
        <sz val="10"/>
        <rFont val="Arial"/>
        <family val="0"/>
        <charset val="1"/>
      </rPr>
      <t xml:space="preserve">AI</t>
    </r>
    <r>
      <rPr>
        <sz val="10"/>
        <rFont val="Noto Sans CJK SC"/>
        <family val="2"/>
      </rPr>
      <t xml:space="preserve">診断</t>
    </r>
    <r>
      <rPr>
        <sz val="10"/>
        <rFont val="Arial"/>
        <family val="0"/>
        <charset val="1"/>
      </rPr>
      <t xml:space="preserve">_</t>
    </r>
    <r>
      <rPr>
        <sz val="10"/>
        <rFont val="Noto Sans CJK SC"/>
        <family val="2"/>
      </rPr>
      <t xml:space="preserve">御社名</t>
    </r>
    <r>
      <rPr>
        <sz val="10"/>
        <rFont val="Arial"/>
        <family val="0"/>
        <charset val="1"/>
      </rPr>
      <t xml:space="preserve">_</t>
    </r>
    <r>
      <rPr>
        <sz val="10"/>
        <rFont val="Noto Sans CJK SC"/>
        <family val="2"/>
      </rPr>
      <t xml:space="preserve">お名前</t>
    </r>
    <r>
      <rPr>
        <sz val="10"/>
        <rFont val="Arial"/>
        <family val="0"/>
        <charset val="1"/>
      </rPr>
      <t xml:space="preserve">.xlsx</t>
    </r>
    <r>
      <rPr>
        <sz val="10"/>
        <rFont val="Noto Sans CJK SC"/>
        <family val="2"/>
      </rPr>
      <t xml:space="preserve">」に変更のうえ、事務局までご返送ください。</t>
    </r>
  </si>
  <si>
    <t xml:space="preserve">記入例</t>
  </si>
  <si>
    <t xml:space="preserve">← 黄色のセルが記入欄です</t>
  </si>
  <si>
    <t xml:space="preserve">①　基本情報</t>
  </si>
  <si>
    <t xml:space="preserve">項　目</t>
  </si>
  <si>
    <t xml:space="preserve">ご記入欄</t>
  </si>
  <si>
    <t xml:space="preserve">会社名</t>
  </si>
  <si>
    <t xml:space="preserve">例：株式会社さくら製作所</t>
  </si>
  <si>
    <t xml:space="preserve">お名前</t>
  </si>
  <si>
    <t xml:space="preserve">例：山田 太郎</t>
  </si>
  <si>
    <t xml:space="preserve">役職</t>
  </si>
  <si>
    <t xml:space="preserve">例：代表取締役</t>
  </si>
  <si>
    <t xml:space="preserve">業種</t>
  </si>
  <si>
    <t xml:space="preserve">例：金属加工（製造業）</t>
  </si>
  <si>
    <t xml:space="preserve">従業員数</t>
  </si>
  <si>
    <r>
      <rPr>
        <i val="true"/>
        <sz val="9"/>
        <color rgb="FF808080"/>
        <rFont val="Noto Sans CJK SC"/>
        <family val="2"/>
      </rPr>
      <t xml:space="preserve">例：</t>
    </r>
    <r>
      <rPr>
        <i val="true"/>
        <sz val="9"/>
        <color rgb="FF808080"/>
        <rFont val="Arial"/>
        <family val="0"/>
        <charset val="1"/>
      </rPr>
      <t xml:space="preserve">18</t>
    </r>
    <r>
      <rPr>
        <i val="true"/>
        <sz val="9"/>
        <color rgb="FF808080"/>
        <rFont val="Noto Sans CJK SC"/>
        <family val="2"/>
      </rPr>
      <t xml:space="preserve">名（パート含む）</t>
    </r>
  </si>
  <si>
    <t xml:space="preserve">創業年</t>
  </si>
  <si>
    <r>
      <rPr>
        <i val="true"/>
        <sz val="9"/>
        <color rgb="FF808080"/>
        <rFont val="Noto Sans CJK SC"/>
        <family val="2"/>
      </rPr>
      <t xml:space="preserve">例：</t>
    </r>
    <r>
      <rPr>
        <i val="true"/>
        <sz val="9"/>
        <color rgb="FF808080"/>
        <rFont val="Arial"/>
        <family val="0"/>
        <charset val="1"/>
      </rPr>
      <t xml:space="preserve">1998</t>
    </r>
    <r>
      <rPr>
        <i val="true"/>
        <sz val="9"/>
        <color rgb="FF808080"/>
        <rFont val="Noto Sans CJK SC"/>
        <family val="2"/>
      </rPr>
      <t xml:space="preserve">年</t>
    </r>
  </si>
  <si>
    <t xml:space="preserve">主な顧客</t>
  </si>
  <si>
    <r>
      <rPr>
        <i val="true"/>
        <sz val="9"/>
        <color rgb="FF808080"/>
        <rFont val="Noto Sans CJK SC"/>
        <family val="2"/>
      </rPr>
      <t xml:space="preserve">例：地元の建設会社</t>
    </r>
    <r>
      <rPr>
        <i val="true"/>
        <sz val="9"/>
        <color rgb="FF808080"/>
        <rFont val="Arial"/>
        <family val="0"/>
        <charset val="1"/>
      </rPr>
      <t xml:space="preserve">10</t>
    </r>
    <r>
      <rPr>
        <i val="true"/>
        <sz val="9"/>
        <color rgb="FF808080"/>
        <rFont val="Noto Sans CJK SC"/>
        <family val="2"/>
      </rPr>
      <t xml:space="preserve">社程度（</t>
    </r>
    <r>
      <rPr>
        <i val="true"/>
        <sz val="9"/>
        <color rgb="FF808080"/>
        <rFont val="Arial"/>
        <family val="0"/>
        <charset val="1"/>
      </rPr>
      <t xml:space="preserve">BtoB</t>
    </r>
    <r>
      <rPr>
        <i val="true"/>
        <sz val="9"/>
        <color rgb="FF808080"/>
        <rFont val="Noto Sans CJK SC"/>
        <family val="2"/>
      </rPr>
      <t xml:space="preserve">）</t>
    </r>
  </si>
  <si>
    <t xml:space="preserve">メールアドレス</t>
  </si>
  <si>
    <r>
      <rPr>
        <i val="true"/>
        <sz val="9"/>
        <color rgb="FF808080"/>
        <rFont val="Noto Sans CJK SC"/>
        <family val="2"/>
      </rPr>
      <t xml:space="preserve">例：</t>
    </r>
    <r>
      <rPr>
        <i val="true"/>
        <sz val="9"/>
        <color rgb="FF808080"/>
        <rFont val="Arial"/>
        <family val="0"/>
        <charset val="1"/>
      </rPr>
      <t xml:space="preserve">yamada@sakura-ss.co.jp</t>
    </r>
  </si>
  <si>
    <r>
      <rPr>
        <b val="true"/>
        <sz val="10"/>
        <rFont val="Arial"/>
        <family val="0"/>
        <charset val="1"/>
      </rPr>
      <t xml:space="preserve">IT</t>
    </r>
    <r>
      <rPr>
        <b val="true"/>
        <sz val="10"/>
        <rFont val="Noto Sans CJK SC"/>
        <family val="2"/>
      </rPr>
      <t xml:space="preserve">の得意な社員の有無</t>
    </r>
  </si>
  <si>
    <r>
      <rPr>
        <i val="true"/>
        <sz val="9"/>
        <color rgb="FF808080"/>
        <rFont val="Noto Sans CJK SC"/>
        <family val="2"/>
      </rPr>
      <t xml:space="preserve">例：いない／</t>
    </r>
    <r>
      <rPr>
        <i val="true"/>
        <sz val="9"/>
        <color rgb="FF808080"/>
        <rFont val="Arial"/>
        <family val="0"/>
        <charset val="1"/>
      </rPr>
      <t xml:space="preserve">1</t>
    </r>
    <r>
      <rPr>
        <i val="true"/>
        <sz val="9"/>
        <color rgb="FF808080"/>
        <rFont val="Noto Sans CJK SC"/>
        <family val="2"/>
      </rPr>
      <t xml:space="preserve">名（</t>
    </r>
    <r>
      <rPr>
        <i val="true"/>
        <sz val="9"/>
        <color rgb="FF808080"/>
        <rFont val="Arial"/>
        <family val="0"/>
        <charset val="1"/>
      </rPr>
      <t xml:space="preserve">20</t>
    </r>
    <r>
      <rPr>
        <i val="true"/>
        <sz val="9"/>
        <color rgb="FF808080"/>
        <rFont val="Noto Sans CJK SC"/>
        <family val="2"/>
      </rPr>
      <t xml:space="preserve">代・事務）</t>
    </r>
  </si>
  <si>
    <r>
      <rPr>
        <b val="true"/>
        <sz val="10"/>
        <rFont val="Noto Sans CJK SC"/>
        <family val="2"/>
      </rPr>
      <t xml:space="preserve">普段お使いの</t>
    </r>
    <r>
      <rPr>
        <b val="true"/>
        <sz val="10"/>
        <rFont val="Arial"/>
        <family val="0"/>
        <charset val="1"/>
      </rPr>
      <t xml:space="preserve">PC</t>
    </r>
    <r>
      <rPr>
        <b val="true"/>
        <sz val="10"/>
        <rFont val="Noto Sans CJK SC"/>
        <family val="2"/>
      </rPr>
      <t xml:space="preserve">・ソフト</t>
    </r>
  </si>
  <si>
    <r>
      <rPr>
        <i val="true"/>
        <sz val="9"/>
        <color rgb="FF808080"/>
        <rFont val="Noto Sans CJK SC"/>
        <family val="2"/>
      </rPr>
      <t xml:space="preserve">例：</t>
    </r>
    <r>
      <rPr>
        <i val="true"/>
        <sz val="9"/>
        <color rgb="FF808080"/>
        <rFont val="Arial"/>
        <family val="0"/>
        <charset val="1"/>
      </rPr>
      <t xml:space="preserve">Windows</t>
    </r>
    <r>
      <rPr>
        <i val="true"/>
        <sz val="9"/>
        <color rgb="FF808080"/>
        <rFont val="Noto Sans CJK SC"/>
        <family val="2"/>
      </rPr>
      <t xml:space="preserve">、</t>
    </r>
    <r>
      <rPr>
        <i val="true"/>
        <sz val="9"/>
        <color rgb="FF808080"/>
        <rFont val="Arial"/>
        <family val="0"/>
        <charset val="1"/>
      </rPr>
      <t xml:space="preserve">Excel</t>
    </r>
    <r>
      <rPr>
        <i val="true"/>
        <sz val="9"/>
        <color rgb="FF808080"/>
        <rFont val="Noto Sans CJK SC"/>
        <family val="2"/>
      </rPr>
      <t xml:space="preserve">、</t>
    </r>
    <r>
      <rPr>
        <i val="true"/>
        <sz val="9"/>
        <color rgb="FF808080"/>
        <rFont val="Arial"/>
        <family val="0"/>
        <charset val="1"/>
      </rPr>
      <t xml:space="preserve">freee</t>
    </r>
    <r>
      <rPr>
        <i val="true"/>
        <sz val="9"/>
        <color rgb="FF808080"/>
        <rFont val="Noto Sans CJK SC"/>
        <family val="2"/>
      </rPr>
      <t xml:space="preserve">、</t>
    </r>
    <r>
      <rPr>
        <i val="true"/>
        <sz val="9"/>
        <color rgb="FF808080"/>
        <rFont val="Arial"/>
        <family val="0"/>
        <charset val="1"/>
      </rPr>
      <t xml:space="preserve">LINE</t>
    </r>
  </si>
  <si>
    <t xml:space="preserve">この講座を知ったきっかけ</t>
  </si>
  <si>
    <t xml:space="preserve">例：商工会からの案内</t>
  </si>
  <si>
    <r>
      <rPr>
        <b val="true"/>
        <sz val="14"/>
        <color rgb="FFFFFFFF"/>
        <rFont val="Noto Sans CJK SC"/>
        <family val="2"/>
      </rPr>
      <t xml:space="preserve">②　</t>
    </r>
    <r>
      <rPr>
        <b val="true"/>
        <sz val="14"/>
        <color rgb="FFFFFFFF"/>
        <rFont val="Arial"/>
        <family val="0"/>
        <charset val="1"/>
      </rPr>
      <t xml:space="preserve">AI</t>
    </r>
    <r>
      <rPr>
        <b val="true"/>
        <sz val="14"/>
        <color rgb="FFFFFFFF"/>
        <rFont val="Noto Sans CJK SC"/>
        <family val="2"/>
      </rPr>
      <t xml:space="preserve">スキル診断（全</t>
    </r>
    <r>
      <rPr>
        <b val="true"/>
        <sz val="14"/>
        <color rgb="FFFFFFFF"/>
        <rFont val="Arial"/>
        <family val="0"/>
        <charset val="1"/>
      </rPr>
      <t xml:space="preserve">20</t>
    </r>
    <r>
      <rPr>
        <b val="true"/>
        <sz val="14"/>
        <color rgb="FFFFFFFF"/>
        <rFont val="Noto Sans CJK SC"/>
        <family val="2"/>
      </rPr>
      <t xml:space="preserve">問）</t>
    </r>
  </si>
  <si>
    <r>
      <rPr>
        <sz val="10"/>
        <color rgb="FFC00000"/>
        <rFont val="Noto Sans CJK SC"/>
        <family val="2"/>
      </rPr>
      <t xml:space="preserve">各設問について、黄色のセルのプルダウンから最も近いものを</t>
    </r>
    <r>
      <rPr>
        <sz val="10"/>
        <color rgb="FFC00000"/>
        <rFont val="Arial"/>
        <family val="0"/>
        <charset val="1"/>
      </rPr>
      <t xml:space="preserve">1</t>
    </r>
    <r>
      <rPr>
        <sz val="10"/>
        <color rgb="FFC00000"/>
        <rFont val="Noto Sans CJK SC"/>
        <family val="2"/>
      </rPr>
      <t xml:space="preserve">つ選んでください。正解はありません。</t>
    </r>
  </si>
  <si>
    <t xml:space="preserve">区分</t>
  </si>
  <si>
    <t xml:space="preserve">設　問</t>
  </si>
  <si>
    <t xml:space="preserve">ご回答（プルダウン）</t>
  </si>
  <si>
    <t xml:space="preserve">点数</t>
  </si>
  <si>
    <r>
      <rPr>
        <b val="true"/>
        <sz val="10"/>
        <color rgb="FF1F3864"/>
        <rFont val="Arial"/>
        <family val="0"/>
        <charset val="1"/>
      </rPr>
      <t xml:space="preserve">A. </t>
    </r>
    <r>
      <rPr>
        <b val="true"/>
        <sz val="10"/>
        <color rgb="FF1F3864"/>
        <rFont val="Noto Sans CJK SC"/>
        <family val="2"/>
      </rPr>
      <t xml:space="preserve">利用状況</t>
    </r>
  </si>
  <si>
    <r>
      <rPr>
        <sz val="10"/>
        <rFont val="Arial"/>
        <family val="0"/>
        <charset val="1"/>
      </rPr>
      <t xml:space="preserve">A1.</t>
    </r>
    <r>
      <rPr>
        <sz val="10"/>
        <rFont val="Noto Sans CJK SC"/>
        <family val="2"/>
      </rPr>
      <t xml:space="preserve">　ご自身で</t>
    </r>
    <r>
      <rPr>
        <sz val="10"/>
        <rFont val="Arial"/>
        <family val="0"/>
        <charset val="1"/>
      </rPr>
      <t xml:space="preserve">ChatGPT</t>
    </r>
    <r>
      <rPr>
        <sz val="10"/>
        <rFont val="Noto Sans CJK SC"/>
        <family val="2"/>
      </rPr>
      <t xml:space="preserve">・</t>
    </r>
    <r>
      <rPr>
        <sz val="10"/>
        <rFont val="Arial"/>
        <family val="0"/>
        <charset val="1"/>
      </rPr>
      <t xml:space="preserve">Claude</t>
    </r>
    <r>
      <rPr>
        <sz val="10"/>
        <rFont val="Noto Sans CJK SC"/>
        <family val="2"/>
      </rPr>
      <t xml:space="preserve">・</t>
    </r>
    <r>
      <rPr>
        <sz val="10"/>
        <rFont val="Arial"/>
        <family val="0"/>
        <charset val="1"/>
      </rPr>
      <t xml:space="preserve">Gemini</t>
    </r>
    <r>
      <rPr>
        <sz val="10"/>
        <rFont val="Noto Sans CJK SC"/>
        <family val="2"/>
      </rPr>
      <t xml:space="preserve">などの生成</t>
    </r>
    <r>
      <rPr>
        <sz val="10"/>
        <rFont val="Arial"/>
        <family val="0"/>
        <charset val="1"/>
      </rPr>
      <t xml:space="preserve">AI</t>
    </r>
    <r>
      <rPr>
        <sz val="10"/>
        <rFont val="Noto Sans CJK SC"/>
        <family val="2"/>
      </rPr>
      <t xml:space="preserve">を使っている</t>
    </r>
  </si>
  <si>
    <r>
      <rPr>
        <sz val="10"/>
        <rFont val="Arial"/>
        <family val="0"/>
        <charset val="1"/>
      </rPr>
      <t xml:space="preserve">A2.</t>
    </r>
    <r>
      <rPr>
        <sz val="10"/>
        <rFont val="Noto Sans CJK SC"/>
        <family val="2"/>
      </rPr>
      <t xml:space="preserve">　メールや社外文書の作成に</t>
    </r>
    <r>
      <rPr>
        <sz val="10"/>
        <rFont val="Arial"/>
        <family val="0"/>
        <charset val="1"/>
      </rPr>
      <t xml:space="preserve">AI</t>
    </r>
    <r>
      <rPr>
        <sz val="10"/>
        <rFont val="Noto Sans CJK SC"/>
        <family val="2"/>
      </rPr>
      <t xml:space="preserve">を使っている</t>
    </r>
  </si>
  <si>
    <r>
      <rPr>
        <sz val="10"/>
        <rFont val="Arial"/>
        <family val="0"/>
        <charset val="1"/>
      </rPr>
      <t xml:space="preserve">A3.</t>
    </r>
    <r>
      <rPr>
        <sz val="10"/>
        <rFont val="Noto Sans CJK SC"/>
        <family val="2"/>
      </rPr>
      <t xml:space="preserve">　会議の議事録づくり・要約に</t>
    </r>
    <r>
      <rPr>
        <sz val="10"/>
        <rFont val="Arial"/>
        <family val="0"/>
        <charset val="1"/>
      </rPr>
      <t xml:space="preserve">AI</t>
    </r>
    <r>
      <rPr>
        <sz val="10"/>
        <rFont val="Noto Sans CJK SC"/>
        <family val="2"/>
      </rPr>
      <t xml:space="preserve">を使っている</t>
    </r>
  </si>
  <si>
    <r>
      <rPr>
        <sz val="10"/>
        <rFont val="Arial"/>
        <family val="0"/>
        <charset val="1"/>
      </rPr>
      <t xml:space="preserve">A4.</t>
    </r>
    <r>
      <rPr>
        <sz val="10"/>
        <rFont val="Noto Sans CJK SC"/>
        <family val="2"/>
      </rPr>
      <t xml:space="preserve">　提案書・企画書・チラシなどの資料作成に</t>
    </r>
    <r>
      <rPr>
        <sz val="10"/>
        <rFont val="Arial"/>
        <family val="0"/>
        <charset val="1"/>
      </rPr>
      <t xml:space="preserve">AI</t>
    </r>
    <r>
      <rPr>
        <sz val="10"/>
        <rFont val="Noto Sans CJK SC"/>
        <family val="2"/>
      </rPr>
      <t xml:space="preserve">を使っている</t>
    </r>
  </si>
  <si>
    <r>
      <rPr>
        <sz val="10"/>
        <rFont val="Arial"/>
        <family val="0"/>
        <charset val="1"/>
      </rPr>
      <t xml:space="preserve">A5.</t>
    </r>
    <r>
      <rPr>
        <sz val="10"/>
        <rFont val="Noto Sans CJK SC"/>
        <family val="2"/>
      </rPr>
      <t xml:space="preserve">　調べもの・情報収集に</t>
    </r>
    <r>
      <rPr>
        <sz val="10"/>
        <rFont val="Arial"/>
        <family val="0"/>
        <charset val="1"/>
      </rPr>
      <t xml:space="preserve">AI</t>
    </r>
    <r>
      <rPr>
        <sz val="10"/>
        <rFont val="Noto Sans CJK SC"/>
        <family val="2"/>
      </rPr>
      <t xml:space="preserve">を使っている</t>
    </r>
  </si>
  <si>
    <r>
      <rPr>
        <sz val="10"/>
        <rFont val="Arial"/>
        <family val="0"/>
        <charset val="1"/>
      </rPr>
      <t xml:space="preserve">A6.</t>
    </r>
    <r>
      <rPr>
        <sz val="10"/>
        <rFont val="Noto Sans CJK SC"/>
        <family val="2"/>
      </rPr>
      <t xml:space="preserve">　売上・在庫などの数字の集計や分析に</t>
    </r>
    <r>
      <rPr>
        <sz val="10"/>
        <rFont val="Arial"/>
        <family val="0"/>
        <charset val="1"/>
      </rPr>
      <t xml:space="preserve">AI</t>
    </r>
    <r>
      <rPr>
        <sz val="10"/>
        <rFont val="Noto Sans CJK SC"/>
        <family val="2"/>
      </rPr>
      <t xml:space="preserve">を使っている</t>
    </r>
  </si>
  <si>
    <r>
      <rPr>
        <sz val="10"/>
        <rFont val="Arial"/>
        <family val="0"/>
        <charset val="1"/>
      </rPr>
      <t xml:space="preserve">A7.</t>
    </r>
    <r>
      <rPr>
        <sz val="10"/>
        <rFont val="Noto Sans CJK SC"/>
        <family val="2"/>
      </rPr>
      <t xml:space="preserve">　社員が業務で</t>
    </r>
    <r>
      <rPr>
        <sz val="10"/>
        <rFont val="Arial"/>
        <family val="0"/>
        <charset val="1"/>
      </rPr>
      <t xml:space="preserve">AI</t>
    </r>
    <r>
      <rPr>
        <sz val="10"/>
        <rFont val="Noto Sans CJK SC"/>
        <family val="2"/>
      </rPr>
      <t xml:space="preserve">を使っている</t>
    </r>
  </si>
  <si>
    <r>
      <rPr>
        <sz val="10"/>
        <rFont val="Arial"/>
        <family val="0"/>
        <charset val="1"/>
      </rPr>
      <t xml:space="preserve">A8.</t>
    </r>
    <r>
      <rPr>
        <sz val="10"/>
        <rFont val="Noto Sans CJK SC"/>
        <family val="2"/>
      </rPr>
      <t xml:space="preserve">　有料版の</t>
    </r>
    <r>
      <rPr>
        <sz val="10"/>
        <rFont val="Arial"/>
        <family val="0"/>
        <charset val="1"/>
      </rPr>
      <t xml:space="preserve">AI</t>
    </r>
    <r>
      <rPr>
        <sz val="10"/>
        <rFont val="Noto Sans CJK SC"/>
        <family val="2"/>
      </rPr>
      <t xml:space="preserve">サービス（月額プラン）を契約している</t>
    </r>
  </si>
  <si>
    <r>
      <rPr>
        <b val="true"/>
        <sz val="10"/>
        <color rgb="FF1F3864"/>
        <rFont val="Arial"/>
        <family val="0"/>
        <charset val="1"/>
      </rPr>
      <t xml:space="preserve">B. </t>
    </r>
    <r>
      <rPr>
        <b val="true"/>
        <sz val="10"/>
        <color rgb="FF1F3864"/>
        <rFont val="Noto Sans CJK SC"/>
        <family val="2"/>
      </rPr>
      <t xml:space="preserve">スキル・体制</t>
    </r>
  </si>
  <si>
    <r>
      <rPr>
        <sz val="10"/>
        <rFont val="Arial"/>
        <family val="0"/>
        <charset val="1"/>
      </rPr>
      <t xml:space="preserve">B1.</t>
    </r>
    <r>
      <rPr>
        <sz val="10"/>
        <rFont val="Noto Sans CJK SC"/>
        <family val="2"/>
      </rPr>
      <t xml:space="preserve">　</t>
    </r>
    <r>
      <rPr>
        <sz val="10"/>
        <rFont val="Arial"/>
        <family val="0"/>
        <charset val="1"/>
      </rPr>
      <t xml:space="preserve">AI</t>
    </r>
    <r>
      <rPr>
        <sz val="10"/>
        <rFont val="Noto Sans CJK SC"/>
        <family val="2"/>
      </rPr>
      <t xml:space="preserve">に指示を出すとき、役割・背景・条件・出力形式を具体的に書ける</t>
    </r>
  </si>
  <si>
    <r>
      <rPr>
        <sz val="10"/>
        <rFont val="Arial"/>
        <family val="0"/>
        <charset val="1"/>
      </rPr>
      <t xml:space="preserve">B2.</t>
    </r>
    <r>
      <rPr>
        <sz val="10"/>
        <rFont val="Noto Sans CJK SC"/>
        <family val="2"/>
      </rPr>
      <t xml:space="preserve">　回答が期待と違ったとき、指示を修正して望む結果に近づけられる</t>
    </r>
  </si>
  <si>
    <r>
      <rPr>
        <sz val="10"/>
        <rFont val="Arial"/>
        <family val="0"/>
        <charset val="1"/>
      </rPr>
      <t xml:space="preserve">B3.</t>
    </r>
    <r>
      <rPr>
        <sz val="10"/>
        <rFont val="Noto Sans CJK SC"/>
        <family val="2"/>
      </rPr>
      <t xml:space="preserve">　</t>
    </r>
    <r>
      <rPr>
        <sz val="10"/>
        <rFont val="Arial"/>
        <family val="0"/>
        <charset val="1"/>
      </rPr>
      <t xml:space="preserve">AI</t>
    </r>
    <r>
      <rPr>
        <sz val="10"/>
        <rFont val="Noto Sans CJK SC"/>
        <family val="2"/>
      </rPr>
      <t xml:space="preserve">が事実と異なることを言う場合があると理解し、必ず裏取りしている</t>
    </r>
  </si>
  <si>
    <r>
      <rPr>
        <sz val="10"/>
        <rFont val="Arial"/>
        <family val="0"/>
        <charset val="1"/>
      </rPr>
      <t xml:space="preserve">B4.</t>
    </r>
    <r>
      <rPr>
        <sz val="10"/>
        <rFont val="Noto Sans CJK SC"/>
        <family val="2"/>
      </rPr>
      <t xml:space="preserve">　自社の資料・データを</t>
    </r>
    <r>
      <rPr>
        <sz val="10"/>
        <rFont val="Arial"/>
        <family val="0"/>
        <charset val="1"/>
      </rPr>
      <t xml:space="preserve">AI</t>
    </r>
    <r>
      <rPr>
        <sz val="10"/>
        <rFont val="Noto Sans CJK SC"/>
        <family val="2"/>
      </rPr>
      <t xml:space="preserve">に読み込ませて答えさせることができる</t>
    </r>
  </si>
  <si>
    <r>
      <rPr>
        <sz val="10"/>
        <rFont val="Arial"/>
        <family val="0"/>
        <charset val="1"/>
      </rPr>
      <t xml:space="preserve">B5.</t>
    </r>
    <r>
      <rPr>
        <sz val="10"/>
        <rFont val="Noto Sans CJK SC"/>
        <family val="2"/>
      </rPr>
      <t xml:space="preserve">　</t>
    </r>
    <r>
      <rPr>
        <sz val="10"/>
        <rFont val="Arial"/>
        <family val="0"/>
        <charset val="1"/>
      </rPr>
      <t xml:space="preserve">AI</t>
    </r>
    <r>
      <rPr>
        <sz val="10"/>
        <rFont val="Noto Sans CJK SC"/>
        <family val="2"/>
      </rPr>
      <t xml:space="preserve">に入れてよい情報と入れてはいけない情報の線引きが判断できる</t>
    </r>
  </si>
  <si>
    <r>
      <rPr>
        <sz val="10"/>
        <rFont val="Arial"/>
        <family val="0"/>
        <charset val="1"/>
      </rPr>
      <t xml:space="preserve">B6.</t>
    </r>
    <r>
      <rPr>
        <sz val="10"/>
        <rFont val="Noto Sans CJK SC"/>
        <family val="2"/>
      </rPr>
      <t xml:space="preserve">　自社のどの業務が</t>
    </r>
    <r>
      <rPr>
        <sz val="10"/>
        <rFont val="Arial"/>
        <family val="0"/>
        <charset val="1"/>
      </rPr>
      <t xml:space="preserve">AI</t>
    </r>
    <r>
      <rPr>
        <sz val="10"/>
        <rFont val="Noto Sans CJK SC"/>
        <family val="2"/>
      </rPr>
      <t xml:space="preserve">で効率化できるか、具体的に</t>
    </r>
    <r>
      <rPr>
        <sz val="10"/>
        <rFont val="Arial"/>
        <family val="0"/>
        <charset val="1"/>
      </rPr>
      <t xml:space="preserve">3</t>
    </r>
    <r>
      <rPr>
        <sz val="10"/>
        <rFont val="Noto Sans CJK SC"/>
        <family val="2"/>
      </rPr>
      <t xml:space="preserve">つ以上挙げられる</t>
    </r>
  </si>
  <si>
    <r>
      <rPr>
        <sz val="10"/>
        <rFont val="Arial"/>
        <family val="0"/>
        <charset val="1"/>
      </rPr>
      <t xml:space="preserve">B7.</t>
    </r>
    <r>
      <rPr>
        <sz val="10"/>
        <rFont val="Noto Sans CJK SC"/>
        <family val="2"/>
      </rPr>
      <t xml:space="preserve">　</t>
    </r>
    <r>
      <rPr>
        <sz val="10"/>
        <rFont val="Arial"/>
        <family val="0"/>
        <charset val="1"/>
      </rPr>
      <t xml:space="preserve">AI</t>
    </r>
    <r>
      <rPr>
        <sz val="10"/>
        <rFont val="Noto Sans CJK SC"/>
        <family val="2"/>
      </rPr>
      <t xml:space="preserve">導入の費用と削減効果を、ざっくりでも数字で試算できる</t>
    </r>
  </si>
  <si>
    <r>
      <rPr>
        <sz val="10"/>
        <rFont val="Arial"/>
        <family val="0"/>
        <charset val="1"/>
      </rPr>
      <t xml:space="preserve">B8.</t>
    </r>
    <r>
      <rPr>
        <sz val="10"/>
        <rFont val="Noto Sans CJK SC"/>
        <family val="2"/>
      </rPr>
      <t xml:space="preserve">　社員に</t>
    </r>
    <r>
      <rPr>
        <sz val="10"/>
        <rFont val="Arial"/>
        <family val="0"/>
        <charset val="1"/>
      </rPr>
      <t xml:space="preserve">AI</t>
    </r>
    <r>
      <rPr>
        <sz val="10"/>
        <rFont val="Noto Sans CJK SC"/>
        <family val="2"/>
      </rPr>
      <t xml:space="preserve">の使い方を自分の言葉で説明・指導できる</t>
    </r>
  </si>
  <si>
    <r>
      <rPr>
        <sz val="10"/>
        <rFont val="Arial"/>
        <family val="0"/>
        <charset val="1"/>
      </rPr>
      <t xml:space="preserve">B9.</t>
    </r>
    <r>
      <rPr>
        <sz val="10"/>
        <rFont val="Noto Sans CJK SC"/>
        <family val="2"/>
      </rPr>
      <t xml:space="preserve">　複数の</t>
    </r>
    <r>
      <rPr>
        <sz val="10"/>
        <rFont val="Arial"/>
        <family val="0"/>
        <charset val="1"/>
      </rPr>
      <t xml:space="preserve">AI</t>
    </r>
    <r>
      <rPr>
        <sz val="10"/>
        <rFont val="Noto Sans CJK SC"/>
        <family val="2"/>
      </rPr>
      <t xml:space="preserve">サービスの得意分野の違いを理解し、使い分けている</t>
    </r>
  </si>
  <si>
    <r>
      <rPr>
        <sz val="10"/>
        <rFont val="Arial"/>
        <family val="0"/>
        <charset val="1"/>
      </rPr>
      <t xml:space="preserve">B10.</t>
    </r>
    <r>
      <rPr>
        <sz val="10"/>
        <rFont val="Noto Sans CJK SC"/>
        <family val="2"/>
      </rPr>
      <t xml:space="preserve">　</t>
    </r>
    <r>
      <rPr>
        <sz val="10"/>
        <rFont val="Arial"/>
        <family val="0"/>
        <charset val="1"/>
      </rPr>
      <t xml:space="preserve">AI</t>
    </r>
    <r>
      <rPr>
        <sz val="10"/>
        <rFont val="Noto Sans CJK SC"/>
        <family val="2"/>
      </rPr>
      <t xml:space="preserve">を使った業務の手順書があり、担当者が替わっても回る</t>
    </r>
  </si>
  <si>
    <r>
      <rPr>
        <sz val="10"/>
        <rFont val="Arial"/>
        <family val="0"/>
        <charset val="1"/>
      </rPr>
      <t xml:space="preserve">B11.</t>
    </r>
    <r>
      <rPr>
        <sz val="10"/>
        <rFont val="Noto Sans CJK SC"/>
        <family val="2"/>
      </rPr>
      <t xml:space="preserve">　</t>
    </r>
    <r>
      <rPr>
        <sz val="10"/>
        <rFont val="Arial"/>
        <family val="0"/>
        <charset val="1"/>
      </rPr>
      <t xml:space="preserve">AI</t>
    </r>
    <r>
      <rPr>
        <sz val="10"/>
        <rFont val="Noto Sans CJK SC"/>
        <family val="2"/>
      </rPr>
      <t xml:space="preserve">利用に関する社内ルール・ガイドラインを整備している</t>
    </r>
  </si>
  <si>
    <r>
      <rPr>
        <sz val="10"/>
        <rFont val="Arial"/>
        <family val="0"/>
        <charset val="1"/>
      </rPr>
      <t xml:space="preserve">B12.</t>
    </r>
    <r>
      <rPr>
        <sz val="10"/>
        <rFont val="Noto Sans CJK SC"/>
        <family val="2"/>
      </rPr>
      <t xml:space="preserve">　今後</t>
    </r>
    <r>
      <rPr>
        <sz val="10"/>
        <rFont val="Arial"/>
        <family val="0"/>
        <charset val="1"/>
      </rPr>
      <t xml:space="preserve">1</t>
    </r>
    <r>
      <rPr>
        <sz val="10"/>
        <rFont val="Noto Sans CJK SC"/>
        <family val="2"/>
      </rPr>
      <t xml:space="preserve">年間の</t>
    </r>
    <r>
      <rPr>
        <sz val="10"/>
        <rFont val="Arial"/>
        <family val="0"/>
        <charset val="1"/>
      </rPr>
      <t xml:space="preserve">AI</t>
    </r>
    <r>
      <rPr>
        <sz val="10"/>
        <rFont val="Noto Sans CJK SC"/>
        <family val="2"/>
      </rPr>
      <t xml:space="preserve">活用について、自社の方針を持っている</t>
    </r>
  </si>
  <si>
    <r>
      <rPr>
        <b val="true"/>
        <sz val="11"/>
        <rFont val="Noto Sans CJK SC"/>
        <family val="2"/>
      </rPr>
      <t xml:space="preserve">合　計　点（</t>
    </r>
    <r>
      <rPr>
        <b val="true"/>
        <sz val="11"/>
        <rFont val="Arial"/>
        <family val="0"/>
        <charset val="1"/>
      </rPr>
      <t xml:space="preserve">80</t>
    </r>
    <r>
      <rPr>
        <b val="true"/>
        <sz val="11"/>
        <rFont val="Noto Sans CJK SC"/>
        <family val="2"/>
      </rPr>
      <t xml:space="preserve">点満点）</t>
    </r>
  </si>
  <si>
    <t xml:space="preserve">未回答の設問数</t>
  </si>
  <si>
    <t xml:space="preserve">③　時間がかかっている業務（最重要・講座の演習題材になります）</t>
  </si>
  <si>
    <r>
      <rPr>
        <sz val="10"/>
        <color rgb="FFC00000"/>
        <rFont val="Noto Sans CJK SC"/>
        <family val="2"/>
      </rPr>
      <t xml:space="preserve">ここが講座の中心です。第</t>
    </r>
    <r>
      <rPr>
        <sz val="10"/>
        <color rgb="FFC00000"/>
        <rFont val="Arial"/>
        <family val="0"/>
        <charset val="1"/>
      </rPr>
      <t xml:space="preserve">1</t>
    </r>
    <r>
      <rPr>
        <sz val="10"/>
        <color rgb="FFC00000"/>
        <rFont val="Noto Sans CJK SC"/>
        <family val="2"/>
      </rPr>
      <t xml:space="preserve">回でこのシートを使って「あなたの会社の</t>
    </r>
    <r>
      <rPr>
        <sz val="10"/>
        <color rgb="FFC00000"/>
        <rFont val="Arial"/>
        <family val="0"/>
        <charset val="1"/>
      </rPr>
      <t xml:space="preserve">AI</t>
    </r>
    <r>
      <rPr>
        <sz val="10"/>
        <color rgb="FFC00000"/>
        <rFont val="Noto Sans CJK SC"/>
        <family val="2"/>
      </rPr>
      <t xml:space="preserve">化候補」を選びます。ざっくりで構いません。</t>
    </r>
  </si>
  <si>
    <t xml:space="preserve">業　務</t>
  </si>
  <si>
    <t xml:space="preserve">対応する人</t>
  </si>
  <si>
    <t xml:space="preserve">月の概算時間</t>
  </si>
  <si>
    <r>
      <rPr>
        <b val="true"/>
        <sz val="10"/>
        <color rgb="FFFFFFFF"/>
        <rFont val="Arial"/>
        <family val="0"/>
        <charset val="1"/>
      </rPr>
      <t xml:space="preserve">AI</t>
    </r>
    <r>
      <rPr>
        <b val="true"/>
        <sz val="10"/>
        <color rgb="FFFFFFFF"/>
        <rFont val="Noto Sans CJK SC"/>
        <family val="2"/>
      </rPr>
      <t xml:space="preserve">化したい度（プルダウン）</t>
    </r>
  </si>
  <si>
    <t xml:space="preserve">現状のやり方・具体的な困りごと</t>
  </si>
  <si>
    <t xml:space="preserve">見積書・請求書の作成</t>
  </si>
  <si>
    <t xml:space="preserve">議事録・日報・報告書の作成</t>
  </si>
  <si>
    <t xml:space="preserve">メール・電話などの顧客対応</t>
  </si>
  <si>
    <t xml:space="preserve">提案書・企画書の作成</t>
  </si>
  <si>
    <t xml:space="preserve">求人原稿づくり・採用対応</t>
  </si>
  <si>
    <t xml:space="preserve">社内マニュアル・手順書の整備</t>
  </si>
  <si>
    <r>
      <rPr>
        <sz val="10"/>
        <rFont val="Arial"/>
        <family val="0"/>
        <charset val="1"/>
      </rPr>
      <t xml:space="preserve">SNS</t>
    </r>
    <r>
      <rPr>
        <sz val="10"/>
        <rFont val="Noto Sans CJK SC"/>
        <family val="2"/>
      </rPr>
      <t xml:space="preserve">・ホームページ・チラシの更新</t>
    </r>
  </si>
  <si>
    <t xml:space="preserve">売上・原価などの集計と分析</t>
  </si>
  <si>
    <t xml:space="preserve">在庫管理・発注</t>
  </si>
  <si>
    <t xml:space="preserve">スケジュール調整・シフト作成</t>
  </si>
  <si>
    <t xml:space="preserve">補助金・許認可などの書類作成</t>
  </si>
  <si>
    <t xml:space="preserve">クレーム・問い合わせ対応</t>
  </si>
  <si>
    <t xml:space="preserve">その他（　　　　　　　）</t>
  </si>
  <si>
    <t xml:space="preserve">合計（月あたり）</t>
  </si>
  <si>
    <t xml:space="preserve">最優先の業務</t>
  </si>
  <si>
    <t xml:space="preserve">【記入例】</t>
  </si>
  <si>
    <r>
      <rPr>
        <i val="true"/>
        <sz val="9"/>
        <color rgb="FF808080"/>
        <rFont val="Noto Sans CJK SC"/>
        <family val="2"/>
      </rPr>
      <t xml:space="preserve">私と事務</t>
    </r>
    <r>
      <rPr>
        <i val="true"/>
        <sz val="9"/>
        <color rgb="FF808080"/>
        <rFont val="Arial"/>
        <family val="0"/>
        <charset val="1"/>
      </rPr>
      <t xml:space="preserve">1</t>
    </r>
    <r>
      <rPr>
        <i val="true"/>
        <sz val="9"/>
        <color rgb="FF808080"/>
        <rFont val="Noto Sans CJK SC"/>
        <family val="2"/>
      </rPr>
      <t xml:space="preserve">名</t>
    </r>
  </si>
  <si>
    <r>
      <rPr>
        <i val="true"/>
        <sz val="9"/>
        <color rgb="FF808080"/>
        <rFont val="Arial"/>
        <family val="0"/>
        <charset val="1"/>
      </rPr>
      <t xml:space="preserve">3</t>
    </r>
    <r>
      <rPr>
        <i val="true"/>
        <sz val="9"/>
        <color rgb="FF808080"/>
        <rFont val="Noto Sans CJK SC"/>
        <family val="2"/>
      </rPr>
      <t xml:space="preserve">：かなり困っている</t>
    </r>
  </si>
  <si>
    <r>
      <rPr>
        <i val="true"/>
        <sz val="9"/>
        <color rgb="FF808080"/>
        <rFont val="Noto Sans CJK SC"/>
        <family val="2"/>
      </rPr>
      <t xml:space="preserve">手書きの原稿を</t>
    </r>
    <r>
      <rPr>
        <i val="true"/>
        <sz val="9"/>
        <color rgb="FF808080"/>
        <rFont val="Arial"/>
        <family val="0"/>
        <charset val="1"/>
      </rPr>
      <t xml:space="preserve">Excel</t>
    </r>
    <r>
      <rPr>
        <i val="true"/>
        <sz val="9"/>
        <color rgb="FF808080"/>
        <rFont val="Noto Sans CJK SC"/>
        <family val="2"/>
      </rPr>
      <t xml:space="preserve">に転記。過去の似た案件を探すのに毎回</t>
    </r>
    <r>
      <rPr>
        <i val="true"/>
        <sz val="9"/>
        <color rgb="FF808080"/>
        <rFont val="Arial"/>
        <family val="0"/>
        <charset val="1"/>
      </rPr>
      <t xml:space="preserve">30</t>
    </r>
    <r>
      <rPr>
        <i val="true"/>
        <sz val="9"/>
        <color rgb="FF808080"/>
        <rFont val="Noto Sans CJK SC"/>
        <family val="2"/>
      </rPr>
      <t xml:space="preserve">分かかる</t>
    </r>
  </si>
  <si>
    <t xml:space="preserve">④　ご要望・ご不安（自由記述）</t>
  </si>
  <si>
    <t xml:space="preserve">この講座が終わったとき、どうなっていたら「参加してよかった」と思えますか？</t>
  </si>
  <si>
    <r>
      <rPr>
        <sz val="10"/>
        <rFont val="Arial"/>
        <family val="0"/>
        <charset val="1"/>
      </rPr>
      <t xml:space="preserve">AI</t>
    </r>
    <r>
      <rPr>
        <sz val="10"/>
        <rFont val="Noto Sans CJK SC"/>
        <family val="2"/>
      </rPr>
      <t xml:space="preserve">活用について、いま一番不安・心配なことは何ですか？</t>
    </r>
  </si>
  <si>
    <r>
      <rPr>
        <sz val="10"/>
        <rFont val="Noto Sans CJK SC"/>
        <family val="2"/>
      </rPr>
      <t xml:space="preserve">過去に</t>
    </r>
    <r>
      <rPr>
        <sz val="10"/>
        <rFont val="Arial"/>
        <family val="0"/>
        <charset val="1"/>
      </rPr>
      <t xml:space="preserve">AI</t>
    </r>
    <r>
      <rPr>
        <sz val="10"/>
        <rFont val="Noto Sans CJK SC"/>
        <family val="2"/>
      </rPr>
      <t xml:space="preserve">や</t>
    </r>
    <r>
      <rPr>
        <sz val="10"/>
        <rFont val="Arial"/>
        <family val="0"/>
        <charset val="1"/>
      </rPr>
      <t xml:space="preserve">IT</t>
    </r>
    <r>
      <rPr>
        <sz val="10"/>
        <rFont val="Noto Sans CJK SC"/>
        <family val="2"/>
      </rPr>
      <t xml:space="preserve">ツールを試して、うまくいかなかった経験はありますか？（内容も）</t>
    </r>
  </si>
  <si>
    <r>
      <rPr>
        <sz val="10"/>
        <rFont val="Noto Sans CJK SC"/>
        <family val="2"/>
      </rPr>
      <t xml:space="preserve">社内で</t>
    </r>
    <r>
      <rPr>
        <sz val="10"/>
        <rFont val="Arial"/>
        <family val="0"/>
        <charset val="1"/>
      </rPr>
      <t xml:space="preserve">AI</t>
    </r>
    <r>
      <rPr>
        <sz val="10"/>
        <rFont val="Noto Sans CJK SC"/>
        <family val="2"/>
      </rPr>
      <t xml:space="preserve">を広げるうえで、障害になりそうなことはありますか？</t>
    </r>
  </si>
  <si>
    <t xml:space="preserve">講座で特に扱ってほしいテーマ・業務があればお書きください。</t>
  </si>
  <si>
    <r>
      <rPr>
        <sz val="10"/>
        <rFont val="Noto Sans CJK SC"/>
        <family val="2"/>
      </rPr>
      <t xml:space="preserve">受講にあたっての制約（</t>
    </r>
    <r>
      <rPr>
        <sz val="10"/>
        <rFont val="Arial"/>
        <family val="0"/>
        <charset val="1"/>
      </rPr>
      <t xml:space="preserve">PC</t>
    </r>
    <r>
      <rPr>
        <sz val="10"/>
        <rFont val="Noto Sans CJK SC"/>
        <family val="2"/>
      </rPr>
      <t xml:space="preserve">環境・参加できない日程など）</t>
    </r>
  </si>
  <si>
    <t xml:space="preserve">　診断結果（自動計算・記入不要）</t>
  </si>
  <si>
    <t xml:space="preserve">スコア</t>
  </si>
  <si>
    <t xml:space="preserve">満点</t>
  </si>
  <si>
    <t xml:space="preserve">内　容</t>
  </si>
  <si>
    <r>
      <rPr>
        <b val="true"/>
        <sz val="11"/>
        <rFont val="Arial"/>
        <family val="0"/>
        <charset val="1"/>
      </rPr>
      <t xml:space="preserve">A. </t>
    </r>
    <r>
      <rPr>
        <b val="true"/>
        <sz val="11"/>
        <rFont val="Noto Sans CJK SC"/>
        <family val="2"/>
      </rPr>
      <t xml:space="preserve">利用状況</t>
    </r>
  </si>
  <si>
    <r>
      <rPr>
        <sz val="10"/>
        <rFont val="Arial"/>
        <family val="0"/>
        <charset val="1"/>
      </rPr>
      <t xml:space="preserve">AI</t>
    </r>
    <r>
      <rPr>
        <sz val="10"/>
        <rFont val="Noto Sans CJK SC"/>
        <family val="2"/>
      </rPr>
      <t xml:space="preserve">を実際にどれだけ日常で使えているか</t>
    </r>
  </si>
  <si>
    <r>
      <rPr>
        <b val="true"/>
        <sz val="11"/>
        <rFont val="Arial"/>
        <family val="0"/>
        <charset val="1"/>
      </rPr>
      <t xml:space="preserve">B. </t>
    </r>
    <r>
      <rPr>
        <b val="true"/>
        <sz val="11"/>
        <rFont val="Noto Sans CJK SC"/>
        <family val="2"/>
      </rPr>
      <t xml:space="preserve">スキル・体制</t>
    </r>
  </si>
  <si>
    <t xml:space="preserve">使いこなす技術と、組織で回す仕組みがあるか</t>
  </si>
  <si>
    <t xml:space="preserve">合　計</t>
  </si>
  <si>
    <r>
      <rPr>
        <sz val="10"/>
        <rFont val="Noto Sans CJK SC"/>
        <family val="2"/>
      </rPr>
      <t xml:space="preserve">総合的な</t>
    </r>
    <r>
      <rPr>
        <sz val="10"/>
        <rFont val="Arial"/>
        <family val="0"/>
        <charset val="1"/>
      </rPr>
      <t xml:space="preserve">AI</t>
    </r>
    <r>
      <rPr>
        <sz val="10"/>
        <rFont val="Noto Sans CJK SC"/>
        <family val="2"/>
      </rPr>
      <t xml:space="preserve">活用の現在地</t>
    </r>
  </si>
  <si>
    <t xml:space="preserve">判定レベル</t>
  </si>
  <si>
    <t xml:space="preserve">講　評</t>
  </si>
  <si>
    <t xml:space="preserve">◆ レベルの目安</t>
  </si>
  <si>
    <t xml:space="preserve">点数帯</t>
  </si>
  <si>
    <r>
      <rPr>
        <sz val="10"/>
        <rFont val="Arial"/>
        <family val="0"/>
        <charset val="1"/>
      </rPr>
      <t xml:space="preserve">0</t>
    </r>
    <r>
      <rPr>
        <sz val="10"/>
        <rFont val="Noto Sans CJK SC"/>
        <family val="2"/>
      </rPr>
      <t xml:space="preserve">〜</t>
    </r>
    <r>
      <rPr>
        <sz val="10"/>
        <rFont val="Arial"/>
        <family val="0"/>
        <charset val="1"/>
      </rPr>
      <t xml:space="preserve">15</t>
    </r>
    <r>
      <rPr>
        <sz val="10"/>
        <rFont val="Noto Sans CJK SC"/>
        <family val="2"/>
      </rPr>
      <t xml:space="preserve">点</t>
    </r>
  </si>
  <si>
    <r>
      <rPr>
        <b val="true"/>
        <sz val="10"/>
        <rFont val="Arial"/>
        <family val="0"/>
        <charset val="1"/>
      </rPr>
      <t xml:space="preserve">Lv.1  </t>
    </r>
    <r>
      <rPr>
        <b val="true"/>
        <sz val="10"/>
        <rFont val="Noto Sans CJK SC"/>
        <family val="2"/>
      </rPr>
      <t xml:space="preserve">未着手</t>
    </r>
  </si>
  <si>
    <r>
      <rPr>
        <sz val="9"/>
        <rFont val="Arial"/>
        <family val="0"/>
        <charset val="1"/>
      </rPr>
      <t xml:space="preserve">AI</t>
    </r>
    <r>
      <rPr>
        <sz val="9"/>
        <rFont val="Noto Sans CJK SC"/>
        <family val="2"/>
      </rPr>
      <t xml:space="preserve">にほとんど触れていない段階。まず「自分が</t>
    </r>
    <r>
      <rPr>
        <sz val="9"/>
        <rFont val="Arial"/>
        <family val="0"/>
        <charset val="1"/>
      </rPr>
      <t xml:space="preserve">1</t>
    </r>
    <r>
      <rPr>
        <sz val="9"/>
        <rFont val="Noto Sans CJK SC"/>
        <family val="2"/>
      </rPr>
      <t xml:space="preserve">日</t>
    </r>
    <r>
      <rPr>
        <sz val="9"/>
        <rFont val="Arial"/>
        <family val="0"/>
        <charset val="1"/>
      </rPr>
      <t xml:space="preserve">1</t>
    </r>
    <r>
      <rPr>
        <sz val="9"/>
        <rFont val="Noto Sans CJK SC"/>
        <family val="2"/>
      </rPr>
      <t xml:space="preserve">回使う」ところから。</t>
    </r>
  </si>
  <si>
    <r>
      <rPr>
        <sz val="10"/>
        <rFont val="Arial"/>
        <family val="0"/>
        <charset val="1"/>
      </rPr>
      <t xml:space="preserve">16</t>
    </r>
    <r>
      <rPr>
        <sz val="10"/>
        <rFont val="Noto Sans CJK SC"/>
        <family val="2"/>
      </rPr>
      <t xml:space="preserve">〜</t>
    </r>
    <r>
      <rPr>
        <sz val="10"/>
        <rFont val="Arial"/>
        <family val="0"/>
        <charset val="1"/>
      </rPr>
      <t xml:space="preserve">31</t>
    </r>
    <r>
      <rPr>
        <sz val="10"/>
        <rFont val="Noto Sans CJK SC"/>
        <family val="2"/>
      </rPr>
      <t xml:space="preserve">点</t>
    </r>
  </si>
  <si>
    <r>
      <rPr>
        <b val="true"/>
        <sz val="10"/>
        <rFont val="Arial"/>
        <family val="0"/>
        <charset val="1"/>
      </rPr>
      <t xml:space="preserve">Lv.2  </t>
    </r>
    <r>
      <rPr>
        <b val="true"/>
        <sz val="10"/>
        <rFont val="Noto Sans CJK SC"/>
        <family val="2"/>
      </rPr>
      <t xml:space="preserve">お試し</t>
    </r>
  </si>
  <si>
    <r>
      <rPr>
        <sz val="10"/>
        <rFont val="Arial"/>
        <family val="0"/>
        <charset val="1"/>
      </rPr>
      <t xml:space="preserve">32</t>
    </r>
    <r>
      <rPr>
        <sz val="10"/>
        <rFont val="Noto Sans CJK SC"/>
        <family val="2"/>
      </rPr>
      <t xml:space="preserve">〜</t>
    </r>
    <r>
      <rPr>
        <sz val="10"/>
        <rFont val="Arial"/>
        <family val="0"/>
        <charset val="1"/>
      </rPr>
      <t xml:space="preserve">47</t>
    </r>
    <r>
      <rPr>
        <sz val="10"/>
        <rFont val="Noto Sans CJK SC"/>
        <family val="2"/>
      </rPr>
      <t xml:space="preserve">点</t>
    </r>
  </si>
  <si>
    <r>
      <rPr>
        <b val="true"/>
        <sz val="10"/>
        <rFont val="Arial"/>
        <family val="0"/>
        <charset val="1"/>
      </rPr>
      <t xml:space="preserve">Lv.3  </t>
    </r>
    <r>
      <rPr>
        <b val="true"/>
        <sz val="10"/>
        <rFont val="Noto Sans CJK SC"/>
        <family val="2"/>
      </rPr>
      <t xml:space="preserve">個人活用</t>
    </r>
  </si>
  <si>
    <r>
      <rPr>
        <sz val="10"/>
        <rFont val="Arial"/>
        <family val="0"/>
        <charset val="1"/>
      </rPr>
      <t xml:space="preserve">48</t>
    </r>
    <r>
      <rPr>
        <sz val="10"/>
        <rFont val="Noto Sans CJK SC"/>
        <family val="2"/>
      </rPr>
      <t xml:space="preserve">〜</t>
    </r>
    <r>
      <rPr>
        <sz val="10"/>
        <rFont val="Arial"/>
        <family val="0"/>
        <charset val="1"/>
      </rPr>
      <t xml:space="preserve">63</t>
    </r>
    <r>
      <rPr>
        <sz val="10"/>
        <rFont val="Noto Sans CJK SC"/>
        <family val="2"/>
      </rPr>
      <t xml:space="preserve">点</t>
    </r>
  </si>
  <si>
    <r>
      <rPr>
        <b val="true"/>
        <sz val="10"/>
        <rFont val="Arial"/>
        <family val="0"/>
        <charset val="1"/>
      </rPr>
      <t xml:space="preserve">Lv.4  </t>
    </r>
    <r>
      <rPr>
        <b val="true"/>
        <sz val="10"/>
        <rFont val="Noto Sans CJK SC"/>
        <family val="2"/>
      </rPr>
      <t xml:space="preserve">業務組込</t>
    </r>
  </si>
  <si>
    <r>
      <rPr>
        <sz val="10"/>
        <rFont val="Arial"/>
        <family val="0"/>
        <charset val="1"/>
      </rPr>
      <t xml:space="preserve">64</t>
    </r>
    <r>
      <rPr>
        <sz val="10"/>
        <rFont val="Noto Sans CJK SC"/>
        <family val="2"/>
      </rPr>
      <t xml:space="preserve">〜</t>
    </r>
    <r>
      <rPr>
        <sz val="10"/>
        <rFont val="Arial"/>
        <family val="0"/>
        <charset val="1"/>
      </rPr>
      <t xml:space="preserve">80</t>
    </r>
    <r>
      <rPr>
        <sz val="10"/>
        <rFont val="Noto Sans CJK SC"/>
        <family val="2"/>
      </rPr>
      <t xml:space="preserve">点</t>
    </r>
  </si>
  <si>
    <r>
      <rPr>
        <b val="true"/>
        <sz val="10"/>
        <rFont val="Arial"/>
        <family val="0"/>
        <charset val="1"/>
      </rPr>
      <t xml:space="preserve">Lv.5  </t>
    </r>
    <r>
      <rPr>
        <b val="true"/>
        <sz val="10"/>
        <rFont val="Noto Sans CJK SC"/>
        <family val="2"/>
      </rPr>
      <t xml:space="preserve">組織展開</t>
    </r>
  </si>
  <si>
    <t xml:space="preserve">※ 本診断は受講前の現在地把握が目的です。点数の高低で受講可否が決まることはありません。</t>
  </si>
  <si>
    <r>
      <rPr>
        <sz val="9"/>
        <color rgb="FF808080"/>
        <rFont val="Noto Sans CJK SC"/>
        <family val="2"/>
      </rPr>
      <t xml:space="preserve">※ 設問設計の参考：中小企業基盤整備機構「中小企業の</t>
    </r>
    <r>
      <rPr>
        <sz val="9"/>
        <color rgb="FF808080"/>
        <rFont val="Arial"/>
        <family val="0"/>
        <charset val="1"/>
      </rPr>
      <t xml:space="preserve">AI</t>
    </r>
    <r>
      <rPr>
        <sz val="9"/>
        <color rgb="FF808080"/>
        <rFont val="Noto Sans CJK SC"/>
        <family val="2"/>
      </rPr>
      <t xml:space="preserve">等の利活用に係る実態調査」</t>
    </r>
    <r>
      <rPr>
        <sz val="9"/>
        <color rgb="FF808080"/>
        <rFont val="Arial"/>
        <family val="0"/>
        <charset val="1"/>
      </rPr>
      <t xml:space="preserve">(2026</t>
    </r>
    <r>
      <rPr>
        <sz val="9"/>
        <color rgb="FF808080"/>
        <rFont val="Noto Sans CJK SC"/>
        <family val="2"/>
      </rPr>
      <t xml:space="preserve">年</t>
    </r>
    <r>
      <rPr>
        <sz val="9"/>
        <color rgb="FF808080"/>
        <rFont val="Arial"/>
        <family val="0"/>
        <charset val="1"/>
      </rPr>
      <t xml:space="preserve">3</t>
    </r>
    <r>
      <rPr>
        <sz val="9"/>
        <color rgb="FF808080"/>
        <rFont val="Noto Sans CJK SC"/>
        <family val="2"/>
      </rPr>
      <t xml:space="preserve">月</t>
    </r>
    <r>
      <rPr>
        <sz val="9"/>
        <color rgb="FF808080"/>
        <rFont val="Arial"/>
        <family val="0"/>
        <charset val="1"/>
      </rPr>
      <t xml:space="preserve">)</t>
    </r>
  </si>
  <si>
    <t xml:space="preserve">　講師用　受講者一覧・集計テンプレート</t>
  </si>
  <si>
    <t xml:space="preserve">回収した各受講者ファイルの「診断結果」の値をここに転記すると、全体の傾向がつかめます。黄色が入力欄です。</t>
  </si>
  <si>
    <r>
      <rPr>
        <b val="true"/>
        <sz val="10"/>
        <color rgb="FFFFFFFF"/>
        <rFont val="Arial"/>
        <family val="0"/>
        <charset val="1"/>
      </rPr>
      <t xml:space="preserve">A.</t>
    </r>
    <r>
      <rPr>
        <b val="true"/>
        <sz val="10"/>
        <color rgb="FFFFFFFF"/>
        <rFont val="Noto Sans CJK SC"/>
        <family val="2"/>
      </rPr>
      <t xml:space="preserve">利用状況</t>
    </r>
  </si>
  <si>
    <r>
      <rPr>
        <b val="true"/>
        <sz val="10"/>
        <color rgb="FFFFFFFF"/>
        <rFont val="Arial"/>
        <family val="0"/>
        <charset val="1"/>
      </rPr>
      <t xml:space="preserve">B.</t>
    </r>
    <r>
      <rPr>
        <b val="true"/>
        <sz val="10"/>
        <color rgb="FFFFFFFF"/>
        <rFont val="Noto Sans CJK SC"/>
        <family val="2"/>
      </rPr>
      <t xml:space="preserve">スキル体制</t>
    </r>
  </si>
  <si>
    <t xml:space="preserve">合計</t>
  </si>
  <si>
    <t xml:space="preserve">最も困っている業務</t>
  </si>
  <si>
    <t xml:space="preserve">平均</t>
  </si>
  <si>
    <t xml:space="preserve">回答者数</t>
  </si>
</sst>
</file>

<file path=xl/styles.xml><?xml version="1.0" encoding="utf-8"?>
<styleSheet xmlns="http://schemas.openxmlformats.org/spreadsheetml/2006/main">
  <numFmts count="4">
    <numFmt numFmtId="164" formatCode="General"/>
    <numFmt numFmtId="165" formatCode="General"/>
    <numFmt numFmtId="166" formatCode="0&quot;時間&quot;"/>
    <numFmt numFmtId="167" formatCode="0.0"/>
  </numFmts>
  <fonts count="31">
    <font>
      <sz val="11"/>
      <color theme="1"/>
      <name val="Calibri"/>
      <family val="2"/>
      <charset val="1"/>
    </font>
    <font>
      <sz val="10"/>
      <name val="Arial"/>
      <family val="0"/>
    </font>
    <font>
      <sz val="10"/>
      <name val="Arial"/>
      <family val="0"/>
    </font>
    <font>
      <sz val="10"/>
      <name val="Arial"/>
      <family val="0"/>
    </font>
    <font>
      <b val="true"/>
      <sz val="11"/>
      <color rgb="FF1F3864"/>
      <name val="Noto Sans CJK SC"/>
      <family val="2"/>
    </font>
    <font>
      <b val="true"/>
      <sz val="10"/>
      <name val="Noto Sans CJK SC"/>
      <family val="2"/>
    </font>
    <font>
      <b val="true"/>
      <sz val="10"/>
      <name val="Arial"/>
      <family val="0"/>
      <charset val="1"/>
    </font>
    <font>
      <sz val="10"/>
      <name val="Arial"/>
      <family val="0"/>
      <charset val="1"/>
    </font>
    <font>
      <sz val="10"/>
      <name val="Noto Sans CJK SC"/>
      <family val="2"/>
    </font>
    <font>
      <b val="true"/>
      <sz val="14"/>
      <color rgb="FFFFFFFF"/>
      <name val="Noto Sans CJK SC"/>
      <family val="2"/>
    </font>
    <font>
      <b val="true"/>
      <sz val="14"/>
      <color rgb="FFFFFFFF"/>
      <name val="Arial"/>
      <family val="0"/>
      <charset val="1"/>
    </font>
    <font>
      <b val="true"/>
      <sz val="10"/>
      <color rgb="FFFFFFFF"/>
      <name val="Arial"/>
      <family val="0"/>
      <charset val="1"/>
    </font>
    <font>
      <b val="true"/>
      <sz val="10"/>
      <color rgb="FFFFFFFF"/>
      <name val="Noto Sans CJK SC"/>
      <family val="2"/>
    </font>
    <font>
      <i val="true"/>
      <sz val="9"/>
      <color rgb="FF808080"/>
      <name val="Noto Sans CJK SC"/>
      <family val="2"/>
    </font>
    <font>
      <i val="true"/>
      <sz val="9"/>
      <color rgb="FF808080"/>
      <name val="Arial"/>
      <family val="0"/>
      <charset val="1"/>
    </font>
    <font>
      <sz val="10"/>
      <color rgb="FFC00000"/>
      <name val="Noto Sans CJK SC"/>
      <family val="2"/>
    </font>
    <font>
      <sz val="10"/>
      <color rgb="FFC00000"/>
      <name val="Arial"/>
      <family val="0"/>
      <charset val="1"/>
    </font>
    <font>
      <b val="true"/>
      <sz val="10"/>
      <color rgb="FF1F3864"/>
      <name val="Arial"/>
      <family val="0"/>
      <charset val="1"/>
    </font>
    <font>
      <b val="true"/>
      <sz val="10"/>
      <color rgb="FF1F3864"/>
      <name val="Noto Sans CJK SC"/>
      <family val="2"/>
    </font>
    <font>
      <sz val="9"/>
      <name val="Arial"/>
      <family val="0"/>
      <charset val="1"/>
    </font>
    <font>
      <b val="true"/>
      <sz val="11"/>
      <name val="Noto Sans CJK SC"/>
      <family val="2"/>
    </font>
    <font>
      <b val="true"/>
      <sz val="11"/>
      <name val="Arial"/>
      <family val="0"/>
      <charset val="1"/>
    </font>
    <font>
      <b val="true"/>
      <sz val="12"/>
      <color rgb="FF1F3864"/>
      <name val="Arial"/>
      <family val="0"/>
      <charset val="1"/>
    </font>
    <font>
      <b val="true"/>
      <sz val="11"/>
      <color rgb="FF1F3864"/>
      <name val="Arial"/>
      <family val="0"/>
      <charset val="1"/>
    </font>
    <font>
      <b val="true"/>
      <sz val="10"/>
      <color rgb="FFC00000"/>
      <name val="Arial"/>
      <family val="0"/>
      <charset val="1"/>
    </font>
    <font>
      <b val="true"/>
      <sz val="9"/>
      <color rgb="FF808080"/>
      <name val="Noto Sans CJK SC"/>
      <family val="2"/>
    </font>
    <font>
      <b val="true"/>
      <sz val="11"/>
      <color rgb="FFFFFFFF"/>
      <name val="Noto Sans CJK SC"/>
      <family val="2"/>
    </font>
    <font>
      <b val="true"/>
      <sz val="16"/>
      <color rgb="FFC00000"/>
      <name val="Arial"/>
      <family val="0"/>
      <charset val="1"/>
    </font>
    <font>
      <sz val="9"/>
      <name val="Noto Sans CJK SC"/>
      <family val="2"/>
    </font>
    <font>
      <sz val="9"/>
      <color rgb="FF808080"/>
      <name val="Noto Sans CJK SC"/>
      <family val="2"/>
    </font>
    <font>
      <sz val="9"/>
      <color rgb="FF80808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9E2F3"/>
        <bgColor rgb="FFE2EFDA"/>
      </patternFill>
    </fill>
    <fill>
      <patternFill patternType="solid">
        <fgColor rgb="FFE2EFDA"/>
        <bgColor rgb="FFF2F2F2"/>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general" vertical="center"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4" fontId="13" fillId="0" borderId="1" xfId="0" applyFont="true" applyBorder="tru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17"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19" fillId="3"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false" applyAlignment="true" applyProtection="false">
      <alignment horizontal="right" vertical="bottom" textRotation="0" wrapText="false" indent="0" shrinkToFit="false"/>
      <protection locked="true" hidden="false"/>
    </xf>
    <xf numFmtId="165" fontId="22" fillId="4" borderId="1" xfId="0" applyFont="true" applyBorder="tru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19" fillId="3" borderId="1" xfId="0" applyFont="true" applyBorder="true" applyAlignment="true" applyProtection="false">
      <alignment horizontal="general" vertical="center" textRotation="0" wrapText="true" indent="0" shrinkToFit="false"/>
      <protection locked="true" hidden="false"/>
    </xf>
    <xf numFmtId="166" fontId="19" fillId="3" borderId="1" xfId="0" applyFont="true" applyBorder="true" applyAlignment="true" applyProtection="false">
      <alignment horizontal="general" vertical="center" textRotation="0" wrapText="tru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6" fontId="23" fillId="4" borderId="1" xfId="0" applyFont="true" applyBorder="true" applyAlignment="true" applyProtection="false">
      <alignment horizontal="center" vertical="bottom" textRotation="0" wrapText="false" indent="0" shrinkToFit="false"/>
      <protection locked="true" hidden="false"/>
    </xf>
    <xf numFmtId="164" fontId="24" fillId="0"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6" fontId="14"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21" fillId="4" borderId="1" xfId="0" applyFont="true" applyBorder="true" applyAlignment="true" applyProtection="false">
      <alignment horizontal="center" vertical="center" textRotation="0" wrapText="true" indent="0" shrinkToFit="false"/>
      <protection locked="true" hidden="false"/>
    </xf>
    <xf numFmtId="165" fontId="22"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26" fillId="2" borderId="1" xfId="0" applyFont="true" applyBorder="true" applyAlignment="true" applyProtection="false">
      <alignment horizontal="center" vertical="center" textRotation="0" wrapText="true" indent="0" shrinkToFit="false"/>
      <protection locked="true" hidden="false"/>
    </xf>
    <xf numFmtId="164" fontId="26" fillId="2" borderId="1" xfId="0" applyFont="true" applyBorder="true" applyAlignment="true" applyProtection="false">
      <alignment horizontal="center" vertical="center" textRotation="0" wrapText="false" indent="0" shrinkToFit="false"/>
      <protection locked="true" hidden="false"/>
    </xf>
    <xf numFmtId="164" fontId="27" fillId="3" borderId="2" xfId="0" applyFont="true" applyBorder="true" applyAlignment="true" applyProtection="false">
      <alignment horizontal="center" vertical="center" textRotation="0" wrapText="fals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4" fontId="28" fillId="0" borderId="1"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7" fontId="23" fillId="4"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6"/>
    <col collapsed="false" customWidth="true" hidden="false" outlineLevel="0" max="4" min="4" style="0" width="60"/>
    <col collapsed="false" customWidth="true" hidden="false" outlineLevel="0" max="6" min="5" style="0" width="4"/>
    <col collapsed="false" customWidth="true" hidden="false" outlineLevel="0" max="7" min="7" style="0" width="24"/>
    <col collapsed="false" customWidth="true" hidden="false" outlineLevel="0" max="8" min="8" style="0" width="4"/>
  </cols>
  <sheetData>
    <row r="1" customFormat="false" ht="15" hidden="false" customHeight="false" outlineLevel="0" collapsed="false">
      <c r="A1" s="1" t="s">
        <v>0</v>
      </c>
    </row>
    <row r="3" customFormat="false" ht="15" hidden="false" customHeight="false" outlineLevel="0" collapsed="false">
      <c r="A3" s="2" t="s">
        <v>1</v>
      </c>
      <c r="D3" s="2" t="s">
        <v>2</v>
      </c>
      <c r="G3" s="3" t="s">
        <v>3</v>
      </c>
    </row>
    <row r="4" customFormat="false" ht="15" hidden="false" customHeight="false" outlineLevel="0" collapsed="false">
      <c r="A4" s="4" t="s">
        <v>4</v>
      </c>
      <c r="D4" s="4" t="s">
        <v>5</v>
      </c>
      <c r="G4" s="4" t="s">
        <v>6</v>
      </c>
    </row>
    <row r="5" customFormat="false" ht="15" hidden="false" customHeight="false" outlineLevel="0" collapsed="false">
      <c r="A5" s="4" t="s">
        <v>7</v>
      </c>
      <c r="D5" s="4" t="s">
        <v>8</v>
      </c>
      <c r="G5" s="4" t="s">
        <v>9</v>
      </c>
    </row>
    <row r="6" customFormat="false" ht="15" hidden="false" customHeight="false" outlineLevel="0" collapsed="false">
      <c r="A6" s="4" t="s">
        <v>10</v>
      </c>
      <c r="D6" s="4" t="s">
        <v>11</v>
      </c>
      <c r="G6" s="4" t="s">
        <v>12</v>
      </c>
    </row>
    <row r="7" customFormat="false" ht="15" hidden="false" customHeight="false" outlineLevel="0" collapsed="false">
      <c r="A7" s="4" t="s">
        <v>13</v>
      </c>
      <c r="D7" s="4" t="s">
        <v>14</v>
      </c>
      <c r="G7" s="4" t="s">
        <v>15</v>
      </c>
    </row>
    <row r="8" customFormat="false" ht="15" hidden="false" customHeight="false" outlineLevel="0" collapsed="false">
      <c r="A8" s="4" t="s">
        <v>16</v>
      </c>
      <c r="D8" s="4" t="s">
        <v>17</v>
      </c>
      <c r="G8" s="4" t="s">
        <v>18</v>
      </c>
    </row>
    <row r="11" customFormat="false" ht="15" hidden="false" customHeight="false" outlineLevel="0" collapsed="false">
      <c r="A11" s="2" t="s">
        <v>19</v>
      </c>
    </row>
    <row r="12" customFormat="false" ht="15" hidden="false" customHeight="false" outlineLevel="0" collapsed="false">
      <c r="A12" s="2" t="s">
        <v>20</v>
      </c>
      <c r="B12" s="2" t="s">
        <v>21</v>
      </c>
      <c r="C12" s="2" t="s">
        <v>22</v>
      </c>
      <c r="D12" s="2" t="s">
        <v>23</v>
      </c>
    </row>
    <row r="13" customFormat="false" ht="15" hidden="false" customHeight="false" outlineLevel="0" collapsed="false">
      <c r="A13" s="0" t="n">
        <v>0</v>
      </c>
      <c r="B13" s="4" t="n">
        <v>15</v>
      </c>
      <c r="C13" s="4" t="s">
        <v>24</v>
      </c>
      <c r="D13" s="4" t="s">
        <v>25</v>
      </c>
    </row>
    <row r="14" customFormat="false" ht="15" hidden="false" customHeight="false" outlineLevel="0" collapsed="false">
      <c r="A14" s="4" t="n">
        <v>16</v>
      </c>
      <c r="B14" s="4" t="n">
        <v>31</v>
      </c>
      <c r="C14" s="4" t="s">
        <v>26</v>
      </c>
      <c r="D14" s="5" t="s">
        <v>27</v>
      </c>
    </row>
    <row r="15" customFormat="false" ht="15" hidden="false" customHeight="false" outlineLevel="0" collapsed="false">
      <c r="A15" s="4" t="n">
        <v>32</v>
      </c>
      <c r="B15" s="4" t="n">
        <v>47</v>
      </c>
      <c r="C15" s="4" t="s">
        <v>28</v>
      </c>
      <c r="D15" s="5" t="s">
        <v>29</v>
      </c>
    </row>
    <row r="16" customFormat="false" ht="15" hidden="false" customHeight="false" outlineLevel="0" collapsed="false">
      <c r="A16" s="4" t="n">
        <v>48</v>
      </c>
      <c r="B16" s="4" t="n">
        <v>63</v>
      </c>
      <c r="C16" s="4" t="s">
        <v>30</v>
      </c>
      <c r="D16" s="5" t="s">
        <v>31</v>
      </c>
    </row>
    <row r="17" customFormat="false" ht="15" hidden="false" customHeight="false" outlineLevel="0" collapsed="false">
      <c r="A17" s="4" t="n">
        <v>64</v>
      </c>
      <c r="B17" s="4" t="n">
        <v>80</v>
      </c>
      <c r="C17" s="4" t="s">
        <v>32</v>
      </c>
      <c r="D17" s="5"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6" min="2" style="0" width="26"/>
  </cols>
  <sheetData>
    <row r="1" customFormat="false" ht="25.5" hidden="false" customHeight="true" outlineLevel="0" collapsed="false">
      <c r="A1" s="6" t="s">
        <v>34</v>
      </c>
      <c r="B1" s="6"/>
      <c r="C1" s="6"/>
      <c r="D1" s="6"/>
      <c r="E1" s="6"/>
      <c r="F1" s="6"/>
    </row>
    <row r="3" customFormat="false" ht="15" hidden="false" customHeight="false" outlineLevel="0" collapsed="false">
      <c r="B3" s="1" t="s">
        <v>35</v>
      </c>
    </row>
    <row r="4" customFormat="false" ht="15" hidden="false" customHeight="false" outlineLevel="0" collapsed="false">
      <c r="B4" s="5" t="s">
        <v>36</v>
      </c>
    </row>
    <row r="5" customFormat="false" ht="15" hidden="false" customHeight="false" outlineLevel="0" collapsed="false">
      <c r="B5" s="5" t="s">
        <v>37</v>
      </c>
    </row>
    <row r="6" customFormat="false" ht="15" hidden="false" customHeight="false" outlineLevel="0" collapsed="false">
      <c r="B6" s="5" t="s">
        <v>38</v>
      </c>
    </row>
    <row r="8" customFormat="false" ht="15" hidden="false" customHeight="false" outlineLevel="0" collapsed="false">
      <c r="B8" s="1" t="s">
        <v>39</v>
      </c>
    </row>
    <row r="9" customFormat="false" ht="15" hidden="false" customHeight="false" outlineLevel="0" collapsed="false">
      <c r="B9" s="5" t="s">
        <v>40</v>
      </c>
    </row>
    <row r="10" customFormat="false" ht="15" hidden="false" customHeight="false" outlineLevel="0" collapsed="false">
      <c r="B10" s="5" t="s">
        <v>41</v>
      </c>
    </row>
    <row r="11" customFormat="false" ht="15" hidden="false" customHeight="false" outlineLevel="0" collapsed="false">
      <c r="B11" s="5" t="s">
        <v>42</v>
      </c>
    </row>
    <row r="12" customFormat="false" ht="15" hidden="false" customHeight="false" outlineLevel="0" collapsed="false">
      <c r="B12" s="5" t="s">
        <v>43</v>
      </c>
    </row>
    <row r="13" customFormat="false" ht="15" hidden="false" customHeight="false" outlineLevel="0" collapsed="false">
      <c r="B13" s="5" t="s">
        <v>44</v>
      </c>
    </row>
    <row r="15" customFormat="false" ht="15" hidden="false" customHeight="false" outlineLevel="0" collapsed="false">
      <c r="B15" s="1" t="s">
        <v>45</v>
      </c>
    </row>
    <row r="16" customFormat="false" ht="15" hidden="false" customHeight="false" outlineLevel="0" collapsed="false">
      <c r="B16" s="5" t="s">
        <v>46</v>
      </c>
    </row>
    <row r="17" customFormat="false" ht="15" hidden="false" customHeight="false" outlineLevel="0" collapsed="false">
      <c r="B17" s="5" t="s">
        <v>47</v>
      </c>
    </row>
    <row r="19" customFormat="false" ht="15" hidden="false" customHeight="false" outlineLevel="0" collapsed="false">
      <c r="B19" s="1" t="s">
        <v>48</v>
      </c>
    </row>
    <row r="20" customFormat="false" ht="15" hidden="false" customHeight="false" outlineLevel="0" collapsed="false">
      <c r="B20" s="5" t="s">
        <v>49</v>
      </c>
    </row>
    <row r="22" customFormat="false" ht="15" hidden="false" customHeight="false" outlineLevel="0" collapsed="false">
      <c r="B22" s="1" t="s">
        <v>50</v>
      </c>
    </row>
    <row r="23" customFormat="false" ht="15" hidden="false" customHeight="false" outlineLevel="0" collapsed="false">
      <c r="B23" s="5" t="s">
        <v>51</v>
      </c>
    </row>
    <row r="25" customFormat="false" ht="15" hidden="false" customHeight="false" outlineLevel="0" collapsed="false">
      <c r="B25" s="7" t="s">
        <v>52</v>
      </c>
      <c r="C25" s="5" t="s">
        <v>53</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44"/>
    <col collapsed="false" customWidth="true" hidden="false" outlineLevel="0" max="4" min="4" style="0" width="34"/>
  </cols>
  <sheetData>
    <row r="1" customFormat="false" ht="25.5" hidden="false" customHeight="true" outlineLevel="0" collapsed="false">
      <c r="A1" s="6" t="s">
        <v>54</v>
      </c>
      <c r="B1" s="6"/>
      <c r="C1" s="6"/>
      <c r="D1" s="6"/>
    </row>
    <row r="3" customFormat="false" ht="30" hidden="false" customHeight="true" outlineLevel="0" collapsed="false">
      <c r="A3" s="8"/>
      <c r="B3" s="9" t="s">
        <v>55</v>
      </c>
      <c r="C3" s="9" t="s">
        <v>56</v>
      </c>
      <c r="D3" s="9" t="s">
        <v>52</v>
      </c>
    </row>
    <row r="4" customFormat="false" ht="21.75" hidden="false" customHeight="true" outlineLevel="0" collapsed="false">
      <c r="B4" s="10" t="s">
        <v>57</v>
      </c>
      <c r="C4" s="11"/>
      <c r="D4" s="12" t="s">
        <v>58</v>
      </c>
    </row>
    <row r="5" customFormat="false" ht="21.75" hidden="false" customHeight="true" outlineLevel="0" collapsed="false">
      <c r="B5" s="10" t="s">
        <v>59</v>
      </c>
      <c r="C5" s="11"/>
      <c r="D5" s="12" t="s">
        <v>60</v>
      </c>
    </row>
    <row r="6" customFormat="false" ht="21.75" hidden="false" customHeight="true" outlineLevel="0" collapsed="false">
      <c r="B6" s="10" t="s">
        <v>61</v>
      </c>
      <c r="C6" s="11"/>
      <c r="D6" s="12" t="s">
        <v>62</v>
      </c>
    </row>
    <row r="7" customFormat="false" ht="21.75" hidden="false" customHeight="true" outlineLevel="0" collapsed="false">
      <c r="B7" s="10" t="s">
        <v>63</v>
      </c>
      <c r="C7" s="11"/>
      <c r="D7" s="12" t="s">
        <v>64</v>
      </c>
    </row>
    <row r="8" customFormat="false" ht="21.75" hidden="false" customHeight="true" outlineLevel="0" collapsed="false">
      <c r="B8" s="10" t="s">
        <v>65</v>
      </c>
      <c r="C8" s="11"/>
      <c r="D8" s="12" t="s">
        <v>66</v>
      </c>
    </row>
    <row r="9" customFormat="false" ht="21.75" hidden="false" customHeight="true" outlineLevel="0" collapsed="false">
      <c r="B9" s="10" t="s">
        <v>67</v>
      </c>
      <c r="C9" s="11"/>
      <c r="D9" s="12" t="s">
        <v>68</v>
      </c>
    </row>
    <row r="10" customFormat="false" ht="21.75" hidden="false" customHeight="true" outlineLevel="0" collapsed="false">
      <c r="B10" s="10" t="s">
        <v>69</v>
      </c>
      <c r="C10" s="11"/>
      <c r="D10" s="12" t="s">
        <v>70</v>
      </c>
    </row>
    <row r="11" customFormat="false" ht="21.75" hidden="false" customHeight="true" outlineLevel="0" collapsed="false">
      <c r="B11" s="10" t="s">
        <v>71</v>
      </c>
      <c r="C11" s="11"/>
      <c r="D11" s="12" t="s">
        <v>72</v>
      </c>
    </row>
    <row r="12" customFormat="false" ht="21.75" hidden="false" customHeight="true" outlineLevel="0" collapsed="false">
      <c r="B12" s="13" t="s">
        <v>73</v>
      </c>
      <c r="C12" s="11"/>
      <c r="D12" s="12" t="s">
        <v>74</v>
      </c>
    </row>
    <row r="13" customFormat="false" ht="21.75" hidden="false" customHeight="true" outlineLevel="0" collapsed="false">
      <c r="B13" s="10" t="s">
        <v>75</v>
      </c>
      <c r="C13" s="11"/>
      <c r="D13" s="12" t="s">
        <v>76</v>
      </c>
    </row>
    <row r="14" customFormat="false" ht="21.75" hidden="false" customHeight="true" outlineLevel="0" collapsed="false">
      <c r="B14" s="10" t="s">
        <v>77</v>
      </c>
      <c r="C14" s="11"/>
      <c r="D14" s="12" t="s">
        <v>78</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6"/>
    <col collapsed="false" customWidth="true" hidden="false" outlineLevel="0" max="3" min="3" style="0" width="62"/>
    <col collapsed="false" customWidth="true" hidden="false" outlineLevel="0" max="4" min="4" style="0" width="26"/>
    <col collapsed="false" customWidth="true" hidden="false" outlineLevel="0" max="5" min="5" style="0" width="8"/>
  </cols>
  <sheetData>
    <row r="1" customFormat="false" ht="25.5" hidden="false" customHeight="true" outlineLevel="0" collapsed="false">
      <c r="A1" s="6" t="s">
        <v>79</v>
      </c>
      <c r="B1" s="6"/>
      <c r="C1" s="6"/>
      <c r="D1" s="6"/>
      <c r="E1" s="6"/>
    </row>
    <row r="2" customFormat="false" ht="15" hidden="false" customHeight="false" outlineLevel="0" collapsed="false">
      <c r="B2" s="14" t="s">
        <v>80</v>
      </c>
      <c r="C2" s="14"/>
      <c r="D2" s="14"/>
      <c r="E2" s="14"/>
    </row>
    <row r="4" customFormat="false" ht="30" hidden="false" customHeight="true" outlineLevel="0" collapsed="false">
      <c r="A4" s="8"/>
      <c r="B4" s="9" t="s">
        <v>81</v>
      </c>
      <c r="C4" s="9" t="s">
        <v>82</v>
      </c>
      <c r="D4" s="9" t="s">
        <v>83</v>
      </c>
      <c r="E4" s="9" t="s">
        <v>84</v>
      </c>
    </row>
    <row r="5" customFormat="false" ht="24" hidden="false" customHeight="true" outlineLevel="0" collapsed="false">
      <c r="B5" s="15" t="s">
        <v>85</v>
      </c>
      <c r="C5" s="16" t="s">
        <v>86</v>
      </c>
      <c r="D5" s="17"/>
      <c r="E5" s="18" t="str">
        <f aca="false">IFERROR(MATCH(D5,設定!$A$4:$A$8,0)-1,"")</f>
        <v/>
      </c>
    </row>
    <row r="6" customFormat="false" ht="24" hidden="false" customHeight="true" outlineLevel="0" collapsed="false">
      <c r="B6" s="15"/>
      <c r="C6" s="16" t="s">
        <v>87</v>
      </c>
      <c r="D6" s="17"/>
      <c r="E6" s="18" t="str">
        <f aca="false">IFERROR(MATCH(D6,設定!$A$4:$A$8,0)-1,"")</f>
        <v/>
      </c>
    </row>
    <row r="7" customFormat="false" ht="24" hidden="false" customHeight="true" outlineLevel="0" collapsed="false">
      <c r="B7" s="15"/>
      <c r="C7" s="16" t="s">
        <v>88</v>
      </c>
      <c r="D7" s="17"/>
      <c r="E7" s="18" t="str">
        <f aca="false">IFERROR(MATCH(D7,設定!$A$4:$A$8,0)-1,"")</f>
        <v/>
      </c>
    </row>
    <row r="8" customFormat="false" ht="24" hidden="false" customHeight="true" outlineLevel="0" collapsed="false">
      <c r="B8" s="15"/>
      <c r="C8" s="16" t="s">
        <v>89</v>
      </c>
      <c r="D8" s="17"/>
      <c r="E8" s="18" t="str">
        <f aca="false">IFERROR(MATCH(D8,設定!$A$4:$A$8,0)-1,"")</f>
        <v/>
      </c>
    </row>
    <row r="9" customFormat="false" ht="24" hidden="false" customHeight="true" outlineLevel="0" collapsed="false">
      <c r="B9" s="15"/>
      <c r="C9" s="16" t="s">
        <v>90</v>
      </c>
      <c r="D9" s="17"/>
      <c r="E9" s="18" t="str">
        <f aca="false">IFERROR(MATCH(D9,設定!$A$4:$A$8,0)-1,"")</f>
        <v/>
      </c>
    </row>
    <row r="10" customFormat="false" ht="24" hidden="false" customHeight="true" outlineLevel="0" collapsed="false">
      <c r="B10" s="15"/>
      <c r="C10" s="16" t="s">
        <v>91</v>
      </c>
      <c r="D10" s="17"/>
      <c r="E10" s="18" t="str">
        <f aca="false">IFERROR(MATCH(D10,設定!$A$4:$A$8,0)-1,"")</f>
        <v/>
      </c>
    </row>
    <row r="11" customFormat="false" ht="24" hidden="false" customHeight="true" outlineLevel="0" collapsed="false">
      <c r="B11" s="15"/>
      <c r="C11" s="16" t="s">
        <v>92</v>
      </c>
      <c r="D11" s="17"/>
      <c r="E11" s="18" t="str">
        <f aca="false">IFERROR(MATCH(D11,設定!$A$4:$A$8,0)-1,"")</f>
        <v/>
      </c>
    </row>
    <row r="12" customFormat="false" ht="24" hidden="false" customHeight="true" outlineLevel="0" collapsed="false">
      <c r="B12" s="15"/>
      <c r="C12" s="16" t="s">
        <v>93</v>
      </c>
      <c r="D12" s="17"/>
      <c r="E12" s="18" t="str">
        <f aca="false">IFERROR(MATCH(D12,設定!$A$4:$A$8,0)-1,"")</f>
        <v/>
      </c>
    </row>
    <row r="13" customFormat="false" ht="24" hidden="false" customHeight="true" outlineLevel="0" collapsed="false">
      <c r="B13" s="19" t="s">
        <v>94</v>
      </c>
      <c r="C13" s="16" t="s">
        <v>95</v>
      </c>
      <c r="D13" s="17"/>
      <c r="E13" s="18" t="str">
        <f aca="false">IFERROR(MATCH(D13,設定!$D$4:$D$8,0)-1,"")</f>
        <v/>
      </c>
    </row>
    <row r="14" customFormat="false" ht="24" hidden="false" customHeight="true" outlineLevel="0" collapsed="false">
      <c r="B14" s="19"/>
      <c r="C14" s="16" t="s">
        <v>96</v>
      </c>
      <c r="D14" s="17"/>
      <c r="E14" s="18" t="str">
        <f aca="false">IFERROR(MATCH(D14,設定!$D$4:$D$8,0)-1,"")</f>
        <v/>
      </c>
    </row>
    <row r="15" customFormat="false" ht="24" hidden="false" customHeight="true" outlineLevel="0" collapsed="false">
      <c r="B15" s="19"/>
      <c r="C15" s="16" t="s">
        <v>97</v>
      </c>
      <c r="D15" s="17"/>
      <c r="E15" s="18" t="str">
        <f aca="false">IFERROR(MATCH(D15,設定!$D$4:$D$8,0)-1,"")</f>
        <v/>
      </c>
    </row>
    <row r="16" customFormat="false" ht="24" hidden="false" customHeight="true" outlineLevel="0" collapsed="false">
      <c r="B16" s="19"/>
      <c r="C16" s="16" t="s">
        <v>98</v>
      </c>
      <c r="D16" s="17"/>
      <c r="E16" s="18" t="str">
        <f aca="false">IFERROR(MATCH(D16,設定!$D$4:$D$8,0)-1,"")</f>
        <v/>
      </c>
    </row>
    <row r="17" customFormat="false" ht="24" hidden="false" customHeight="true" outlineLevel="0" collapsed="false">
      <c r="B17" s="19"/>
      <c r="C17" s="16" t="s">
        <v>99</v>
      </c>
      <c r="D17" s="17"/>
      <c r="E17" s="18" t="str">
        <f aca="false">IFERROR(MATCH(D17,設定!$D$4:$D$8,0)-1,"")</f>
        <v/>
      </c>
    </row>
    <row r="18" customFormat="false" ht="24" hidden="false" customHeight="true" outlineLevel="0" collapsed="false">
      <c r="B18" s="19"/>
      <c r="C18" s="16" t="s">
        <v>100</v>
      </c>
      <c r="D18" s="17"/>
      <c r="E18" s="18" t="str">
        <f aca="false">IFERROR(MATCH(D18,設定!$D$4:$D$8,0)-1,"")</f>
        <v/>
      </c>
    </row>
    <row r="19" customFormat="false" ht="24" hidden="false" customHeight="true" outlineLevel="0" collapsed="false">
      <c r="B19" s="19"/>
      <c r="C19" s="16" t="s">
        <v>101</v>
      </c>
      <c r="D19" s="17"/>
      <c r="E19" s="18" t="str">
        <f aca="false">IFERROR(MATCH(D19,設定!$D$4:$D$8,0)-1,"")</f>
        <v/>
      </c>
    </row>
    <row r="20" customFormat="false" ht="24" hidden="false" customHeight="true" outlineLevel="0" collapsed="false">
      <c r="B20" s="19"/>
      <c r="C20" s="16" t="s">
        <v>102</v>
      </c>
      <c r="D20" s="17"/>
      <c r="E20" s="18" t="str">
        <f aca="false">IFERROR(MATCH(D20,設定!$D$4:$D$8,0)-1,"")</f>
        <v/>
      </c>
    </row>
    <row r="21" customFormat="false" ht="24" hidden="false" customHeight="true" outlineLevel="0" collapsed="false">
      <c r="B21" s="19"/>
      <c r="C21" s="16" t="s">
        <v>103</v>
      </c>
      <c r="D21" s="17"/>
      <c r="E21" s="18" t="str">
        <f aca="false">IFERROR(MATCH(D21,設定!$D$4:$D$8,0)-1,"")</f>
        <v/>
      </c>
    </row>
    <row r="22" customFormat="false" ht="24" hidden="false" customHeight="true" outlineLevel="0" collapsed="false">
      <c r="B22" s="19"/>
      <c r="C22" s="16" t="s">
        <v>104</v>
      </c>
      <c r="D22" s="17"/>
      <c r="E22" s="18" t="str">
        <f aca="false">IFERROR(MATCH(D22,設定!$D$4:$D$8,0)-1,"")</f>
        <v/>
      </c>
    </row>
    <row r="23" customFormat="false" ht="24" hidden="false" customHeight="true" outlineLevel="0" collapsed="false">
      <c r="B23" s="19"/>
      <c r="C23" s="16" t="s">
        <v>105</v>
      </c>
      <c r="D23" s="17"/>
      <c r="E23" s="18" t="str">
        <f aca="false">IFERROR(MATCH(D23,設定!$D$4:$D$8,0)-1,"")</f>
        <v/>
      </c>
    </row>
    <row r="24" customFormat="false" ht="24" hidden="false" customHeight="true" outlineLevel="0" collapsed="false">
      <c r="B24" s="19"/>
      <c r="C24" s="16" t="s">
        <v>106</v>
      </c>
      <c r="D24" s="17"/>
      <c r="E24" s="18" t="str">
        <f aca="false">IFERROR(MATCH(D24,設定!$D$4:$D$8,0)-1,"")</f>
        <v/>
      </c>
    </row>
    <row r="26" customFormat="false" ht="17.15" hidden="false" customHeight="false" outlineLevel="0" collapsed="false">
      <c r="C26" s="20" t="s">
        <v>107</v>
      </c>
      <c r="E26" s="21" t="n">
        <f aca="false">SUM(E5:E24)</f>
        <v>0</v>
      </c>
    </row>
    <row r="27" customFormat="false" ht="15" hidden="false" customHeight="false" outlineLevel="0" collapsed="false">
      <c r="C27" s="22" t="s">
        <v>108</v>
      </c>
      <c r="E27" s="23" t="n">
        <f aca="false">COUNTBLANK(D5:D24)</f>
        <v>20</v>
      </c>
    </row>
  </sheetData>
  <mergeCells count="2">
    <mergeCell ref="A1:E1"/>
    <mergeCell ref="B2:E2"/>
  </mergeCells>
  <dataValidations count="2">
    <dataValidation allowBlank="true" errorStyle="stop" operator="between" showDropDown="false" showErrorMessage="false" showInputMessage="false" sqref="D5:D12" type="list">
      <formula1>設定!$A$4:$A$8</formula1>
      <formula2>0</formula2>
    </dataValidation>
    <dataValidation allowBlank="true" errorStyle="stop" operator="between" showDropDown="false" showErrorMessage="false" showInputMessage="false" sqref="D13:D24" type="list">
      <formula1>設定!$D$4:$D$8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6"/>
    <col collapsed="false" customWidth="true" hidden="false" outlineLevel="0" max="4" min="4" style="0" width="14"/>
    <col collapsed="false" customWidth="true" hidden="false" outlineLevel="0" max="5" min="5" style="0" width="26"/>
    <col collapsed="false" customWidth="true" hidden="false" outlineLevel="0" max="6" min="6" style="0" width="30"/>
  </cols>
  <sheetData>
    <row r="1" customFormat="false" ht="25.5" hidden="false" customHeight="true" outlineLevel="0" collapsed="false">
      <c r="A1" s="6" t="s">
        <v>109</v>
      </c>
      <c r="B1" s="6"/>
      <c r="C1" s="6"/>
      <c r="D1" s="6"/>
      <c r="E1" s="6"/>
      <c r="F1" s="6"/>
    </row>
    <row r="2" customFormat="false" ht="15" hidden="false" customHeight="false" outlineLevel="0" collapsed="false">
      <c r="B2" s="14" t="s">
        <v>110</v>
      </c>
      <c r="C2" s="14"/>
      <c r="D2" s="14"/>
      <c r="E2" s="14"/>
      <c r="F2" s="14"/>
    </row>
    <row r="4" customFormat="false" ht="30" hidden="false" customHeight="true" outlineLevel="0" collapsed="false">
      <c r="A4" s="8"/>
      <c r="B4" s="9" t="s">
        <v>111</v>
      </c>
      <c r="C4" s="9" t="s">
        <v>112</v>
      </c>
      <c r="D4" s="9" t="s">
        <v>113</v>
      </c>
      <c r="E4" s="8" t="s">
        <v>114</v>
      </c>
      <c r="F4" s="9" t="s">
        <v>115</v>
      </c>
    </row>
    <row r="5" customFormat="false" ht="25.5" hidden="false" customHeight="true" outlineLevel="0" collapsed="false">
      <c r="B5" s="24" t="s">
        <v>116</v>
      </c>
      <c r="C5" s="25"/>
      <c r="D5" s="26"/>
      <c r="E5" s="25"/>
      <c r="F5" s="25"/>
    </row>
    <row r="6" customFormat="false" ht="25.5" hidden="false" customHeight="true" outlineLevel="0" collapsed="false">
      <c r="B6" s="24" t="s">
        <v>117</v>
      </c>
      <c r="C6" s="25"/>
      <c r="D6" s="26"/>
      <c r="E6" s="25"/>
      <c r="F6" s="25"/>
    </row>
    <row r="7" customFormat="false" ht="25.5" hidden="false" customHeight="true" outlineLevel="0" collapsed="false">
      <c r="B7" s="24" t="s">
        <v>118</v>
      </c>
      <c r="C7" s="25"/>
      <c r="D7" s="26"/>
      <c r="E7" s="25"/>
      <c r="F7" s="25"/>
    </row>
    <row r="8" customFormat="false" ht="25.5" hidden="false" customHeight="true" outlineLevel="0" collapsed="false">
      <c r="B8" s="24" t="s">
        <v>119</v>
      </c>
      <c r="C8" s="25"/>
      <c r="D8" s="26"/>
      <c r="E8" s="25"/>
      <c r="F8" s="25"/>
    </row>
    <row r="9" customFormat="false" ht="25.5" hidden="false" customHeight="true" outlineLevel="0" collapsed="false">
      <c r="B9" s="24" t="s">
        <v>120</v>
      </c>
      <c r="C9" s="25"/>
      <c r="D9" s="26"/>
      <c r="E9" s="25"/>
      <c r="F9" s="25"/>
    </row>
    <row r="10" customFormat="false" ht="25.5" hidden="false" customHeight="true" outlineLevel="0" collapsed="false">
      <c r="B10" s="24" t="s">
        <v>121</v>
      </c>
      <c r="C10" s="25"/>
      <c r="D10" s="26"/>
      <c r="E10" s="25"/>
      <c r="F10" s="25"/>
    </row>
    <row r="11" customFormat="false" ht="25.5" hidden="false" customHeight="true" outlineLevel="0" collapsed="false">
      <c r="B11" s="27" t="s">
        <v>122</v>
      </c>
      <c r="C11" s="25"/>
      <c r="D11" s="26"/>
      <c r="E11" s="25"/>
      <c r="F11" s="25"/>
    </row>
    <row r="12" customFormat="false" ht="25.5" hidden="false" customHeight="true" outlineLevel="0" collapsed="false">
      <c r="B12" s="24" t="s">
        <v>123</v>
      </c>
      <c r="C12" s="25"/>
      <c r="D12" s="26"/>
      <c r="E12" s="25"/>
      <c r="F12" s="25"/>
    </row>
    <row r="13" customFormat="false" ht="25.5" hidden="false" customHeight="true" outlineLevel="0" collapsed="false">
      <c r="B13" s="24" t="s">
        <v>124</v>
      </c>
      <c r="C13" s="25"/>
      <c r="D13" s="26"/>
      <c r="E13" s="25"/>
      <c r="F13" s="25"/>
    </row>
    <row r="14" customFormat="false" ht="25.5" hidden="false" customHeight="true" outlineLevel="0" collapsed="false">
      <c r="B14" s="24" t="s">
        <v>125</v>
      </c>
      <c r="C14" s="25"/>
      <c r="D14" s="26"/>
      <c r="E14" s="25"/>
      <c r="F14" s="25"/>
    </row>
    <row r="15" customFormat="false" ht="25.5" hidden="false" customHeight="true" outlineLevel="0" collapsed="false">
      <c r="B15" s="24" t="s">
        <v>126</v>
      </c>
      <c r="C15" s="25"/>
      <c r="D15" s="26"/>
      <c r="E15" s="25"/>
      <c r="F15" s="25"/>
    </row>
    <row r="16" customFormat="false" ht="25.5" hidden="false" customHeight="true" outlineLevel="0" collapsed="false">
      <c r="B16" s="24" t="s">
        <v>127</v>
      </c>
      <c r="C16" s="25"/>
      <c r="D16" s="26"/>
      <c r="E16" s="25"/>
      <c r="F16" s="25"/>
    </row>
    <row r="17" customFormat="false" ht="25.5" hidden="false" customHeight="true" outlineLevel="0" collapsed="false">
      <c r="B17" s="28" t="s">
        <v>128</v>
      </c>
      <c r="C17" s="25"/>
      <c r="D17" s="25"/>
      <c r="E17" s="25"/>
      <c r="F17" s="25"/>
    </row>
    <row r="18" customFormat="false" ht="25.5" hidden="false" customHeight="true" outlineLevel="0" collapsed="false">
      <c r="B18" s="28" t="s">
        <v>128</v>
      </c>
      <c r="C18" s="25"/>
      <c r="D18" s="25"/>
      <c r="E18" s="25"/>
      <c r="F18" s="25"/>
    </row>
    <row r="20" customFormat="false" ht="17.15" hidden="false" customHeight="false" outlineLevel="0" collapsed="false">
      <c r="B20" s="29" t="s">
        <v>129</v>
      </c>
      <c r="D20" s="30" t="n">
        <f aca="false">SUM(D5:D18)</f>
        <v>0</v>
      </c>
      <c r="E20" s="2" t="s">
        <v>130</v>
      </c>
      <c r="F20" s="31" t="str">
        <f aca="false">IFERROR(INDEX(B5:B18,MATCH(MAX(D5:D18),D5:D18,0)),"")</f>
        <v/>
      </c>
    </row>
    <row r="22" customFormat="false" ht="15" hidden="false" customHeight="false" outlineLevel="0" collapsed="false">
      <c r="B22" s="32" t="s">
        <v>131</v>
      </c>
    </row>
    <row r="23" customFormat="false" ht="30" hidden="false" customHeight="true" outlineLevel="0" collapsed="false">
      <c r="B23" s="12" t="s">
        <v>116</v>
      </c>
      <c r="C23" s="12" t="s">
        <v>132</v>
      </c>
      <c r="D23" s="33" t="n">
        <v>20</v>
      </c>
      <c r="E23" s="34" t="s">
        <v>133</v>
      </c>
      <c r="F23" s="12" t="s">
        <v>134</v>
      </c>
    </row>
  </sheetData>
  <mergeCells count="2">
    <mergeCell ref="A1:F1"/>
    <mergeCell ref="B2:F2"/>
  </mergeCells>
  <dataValidations count="1">
    <dataValidation allowBlank="true" errorStyle="stop" operator="between" showDropDown="false" showErrorMessage="false" showInputMessage="false" sqref="E5:E18" type="list">
      <formula1>設定!$G$4:$G$8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72"/>
  </cols>
  <sheetData>
    <row r="1" customFormat="false" ht="25.5" hidden="false" customHeight="true" outlineLevel="0" collapsed="false">
      <c r="A1" s="6" t="s">
        <v>135</v>
      </c>
      <c r="B1" s="6"/>
      <c r="C1" s="6"/>
    </row>
    <row r="3" customFormat="false" ht="30" hidden="false" customHeight="true" outlineLevel="0" collapsed="false">
      <c r="A3" s="8"/>
      <c r="B3" s="9" t="s">
        <v>82</v>
      </c>
      <c r="C3" s="9" t="s">
        <v>56</v>
      </c>
    </row>
    <row r="4" customFormat="false" ht="60" hidden="false" customHeight="true" outlineLevel="0" collapsed="false">
      <c r="B4" s="35" t="s">
        <v>136</v>
      </c>
      <c r="C4" s="36"/>
    </row>
    <row r="5" customFormat="false" ht="60" hidden="false" customHeight="true" outlineLevel="0" collapsed="false">
      <c r="B5" s="37" t="s">
        <v>137</v>
      </c>
      <c r="C5" s="36"/>
    </row>
    <row r="6" customFormat="false" ht="60" hidden="false" customHeight="true" outlineLevel="0" collapsed="false">
      <c r="B6" s="35" t="s">
        <v>138</v>
      </c>
      <c r="C6" s="36"/>
    </row>
    <row r="7" customFormat="false" ht="60" hidden="false" customHeight="true" outlineLevel="0" collapsed="false">
      <c r="B7" s="35" t="s">
        <v>139</v>
      </c>
      <c r="C7" s="36"/>
    </row>
    <row r="8" customFormat="false" ht="60" hidden="false" customHeight="true" outlineLevel="0" collapsed="false">
      <c r="B8" s="35" t="s">
        <v>140</v>
      </c>
      <c r="C8" s="36"/>
    </row>
    <row r="9" customFormat="false" ht="60" hidden="false" customHeight="true" outlineLevel="0" collapsed="false">
      <c r="B9" s="35" t="s">
        <v>141</v>
      </c>
      <c r="C9" s="36"/>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4" min="3" style="0" width="20"/>
    <col collapsed="false" customWidth="true" hidden="false" outlineLevel="0" max="5" min="5" style="0" width="54"/>
  </cols>
  <sheetData>
    <row r="1" customFormat="false" ht="25.5" hidden="false" customHeight="true" outlineLevel="0" collapsed="false">
      <c r="A1" s="6" t="s">
        <v>142</v>
      </c>
      <c r="B1" s="6"/>
      <c r="C1" s="6"/>
      <c r="D1" s="6"/>
      <c r="E1" s="6"/>
    </row>
    <row r="3" customFormat="false" ht="30" hidden="false" customHeight="true" outlineLevel="0" collapsed="false">
      <c r="A3" s="8"/>
      <c r="B3" s="9" t="s">
        <v>55</v>
      </c>
      <c r="C3" s="9" t="s">
        <v>143</v>
      </c>
      <c r="D3" s="9" t="s">
        <v>144</v>
      </c>
      <c r="E3" s="9" t="s">
        <v>145</v>
      </c>
    </row>
    <row r="4" customFormat="false" ht="25.5" hidden="false" customHeight="true" outlineLevel="0" collapsed="false">
      <c r="B4" s="38" t="s">
        <v>146</v>
      </c>
      <c r="C4" s="39" t="n">
        <f aca="false">SUM(②AIスキル診断!E5:E12)</f>
        <v>0</v>
      </c>
      <c r="D4" s="18" t="n">
        <v>32</v>
      </c>
      <c r="E4" s="16" t="s">
        <v>147</v>
      </c>
    </row>
    <row r="5" customFormat="false" ht="25.5" hidden="false" customHeight="true" outlineLevel="0" collapsed="false">
      <c r="B5" s="38" t="s">
        <v>148</v>
      </c>
      <c r="C5" s="39" t="n">
        <f aca="false">SUM(②AIスキル診断!E13:E24)</f>
        <v>0</v>
      </c>
      <c r="D5" s="18" t="n">
        <v>48</v>
      </c>
      <c r="E5" s="40" t="s">
        <v>149</v>
      </c>
    </row>
    <row r="6" customFormat="false" ht="25.5" hidden="false" customHeight="true" outlineLevel="0" collapsed="false">
      <c r="B6" s="41" t="s">
        <v>150</v>
      </c>
      <c r="C6" s="39" t="n">
        <f aca="false">②AIスキル診断!E26</f>
        <v>0</v>
      </c>
      <c r="D6" s="18" t="n">
        <v>80</v>
      </c>
      <c r="E6" s="40" t="s">
        <v>151</v>
      </c>
    </row>
    <row r="9" customFormat="false" ht="36" hidden="false" customHeight="true" outlineLevel="0" collapsed="false">
      <c r="B9" s="42" t="s">
        <v>152</v>
      </c>
      <c r="C9" s="43" t="str">
        <f aca="false">IFERROR(INDEX(設定!$C$13:$C$17,MATCH(C6,設定!$A$13:$A$17,1)),"未回答")</f>
        <v>Lv.1  未着手</v>
      </c>
      <c r="D9" s="43"/>
      <c r="E9" s="43"/>
    </row>
    <row r="11" customFormat="false" ht="45.75" hidden="false" customHeight="true" outlineLevel="0" collapsed="false">
      <c r="B11" s="42" t="s">
        <v>153</v>
      </c>
      <c r="C11" s="44" t="str">
        <f aca="false">IFERROR(INDEX(設定!$D$13:$D$17,MATCH(C6,設定!$A$13:$A$17,1)),"設問にご回答ください")</f>
        <v>AIにほとんど触れていない段階。まず「自分が1日1回使う」ところから。</v>
      </c>
      <c r="D11" s="44"/>
      <c r="E11" s="44"/>
    </row>
    <row r="13" customFormat="false" ht="15" hidden="false" customHeight="false" outlineLevel="0" collapsed="false">
      <c r="B13" s="1" t="s">
        <v>154</v>
      </c>
    </row>
    <row r="14" customFormat="false" ht="30" hidden="false" customHeight="true" outlineLevel="0" collapsed="false">
      <c r="A14" s="8"/>
      <c r="B14" s="9" t="s">
        <v>155</v>
      </c>
      <c r="C14" s="9" t="s">
        <v>22</v>
      </c>
      <c r="D14" s="8"/>
      <c r="E14" s="8"/>
    </row>
    <row r="15" customFormat="false" ht="24" hidden="false" customHeight="true" outlineLevel="0" collapsed="false">
      <c r="B15" s="18" t="s">
        <v>156</v>
      </c>
      <c r="C15" s="45" t="s">
        <v>157</v>
      </c>
      <c r="D15" s="46" t="s">
        <v>158</v>
      </c>
      <c r="E15" s="46"/>
    </row>
    <row r="16" customFormat="false" ht="24" hidden="false" customHeight="true" outlineLevel="0" collapsed="false">
      <c r="B16" s="18" t="s">
        <v>159</v>
      </c>
      <c r="C16" s="45" t="s">
        <v>160</v>
      </c>
      <c r="D16" s="47" t="s">
        <v>27</v>
      </c>
      <c r="E16" s="47"/>
    </row>
    <row r="17" customFormat="false" ht="24" hidden="false" customHeight="true" outlineLevel="0" collapsed="false">
      <c r="B17" s="18" t="s">
        <v>161</v>
      </c>
      <c r="C17" s="45" t="s">
        <v>162</v>
      </c>
      <c r="D17" s="47" t="s">
        <v>29</v>
      </c>
      <c r="E17" s="47"/>
    </row>
    <row r="18" customFormat="false" ht="24" hidden="false" customHeight="true" outlineLevel="0" collapsed="false">
      <c r="B18" s="18" t="s">
        <v>163</v>
      </c>
      <c r="C18" s="45" t="s">
        <v>164</v>
      </c>
      <c r="D18" s="47" t="s">
        <v>31</v>
      </c>
      <c r="E18" s="47"/>
    </row>
    <row r="19" customFormat="false" ht="24" hidden="false" customHeight="true" outlineLevel="0" collapsed="false">
      <c r="B19" s="18" t="s">
        <v>165</v>
      </c>
      <c r="C19" s="45" t="s">
        <v>166</v>
      </c>
      <c r="D19" s="47" t="s">
        <v>33</v>
      </c>
      <c r="E19" s="47"/>
    </row>
    <row r="21" customFormat="false" ht="15" hidden="false" customHeight="false" outlineLevel="0" collapsed="false">
      <c r="B21" s="48" t="s">
        <v>167</v>
      </c>
    </row>
    <row r="22" customFormat="false" ht="15" hidden="false" customHeight="false" outlineLevel="0" collapsed="false">
      <c r="B22" s="48" t="s">
        <v>168</v>
      </c>
    </row>
  </sheetData>
  <mergeCells count="8">
    <mergeCell ref="A1:E1"/>
    <mergeCell ref="C9:E9"/>
    <mergeCell ref="C11:E11"/>
    <mergeCell ref="D15:E15"/>
    <mergeCell ref="D16:E16"/>
    <mergeCell ref="D17:E17"/>
    <mergeCell ref="D18:E18"/>
    <mergeCell ref="D19:E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4" min="3" style="0" width="16"/>
    <col collapsed="false" customWidth="true" hidden="false" outlineLevel="0" max="7" min="5" style="0" width="12"/>
    <col collapsed="false" customWidth="true" hidden="false" outlineLevel="0" max="8" min="8" style="0" width="10"/>
    <col collapsed="false" customWidth="true" hidden="false" outlineLevel="0" max="9" min="9" style="0" width="16"/>
    <col collapsed="false" customWidth="true" hidden="false" outlineLevel="0" max="10" min="10" style="0" width="32"/>
  </cols>
  <sheetData>
    <row r="1" customFormat="false" ht="25.5" hidden="false" customHeight="true" outlineLevel="0" collapsed="false">
      <c r="A1" s="6" t="s">
        <v>169</v>
      </c>
      <c r="B1" s="6"/>
      <c r="C1" s="6"/>
      <c r="D1" s="6"/>
      <c r="E1" s="6"/>
      <c r="F1" s="6"/>
      <c r="G1" s="6"/>
      <c r="H1" s="6"/>
    </row>
    <row r="2" customFormat="false" ht="15" hidden="false" customHeight="false" outlineLevel="0" collapsed="false">
      <c r="B2" s="14" t="s">
        <v>170</v>
      </c>
      <c r="C2" s="14"/>
      <c r="D2" s="14"/>
      <c r="E2" s="14"/>
      <c r="F2" s="14"/>
      <c r="G2" s="14"/>
      <c r="H2" s="14"/>
    </row>
    <row r="4" customFormat="false" ht="30" hidden="false" customHeight="true" outlineLevel="0" collapsed="false">
      <c r="A4" s="8"/>
      <c r="B4" s="9" t="s">
        <v>57</v>
      </c>
      <c r="C4" s="9" t="s">
        <v>59</v>
      </c>
      <c r="D4" s="9" t="s">
        <v>63</v>
      </c>
      <c r="E4" s="9" t="s">
        <v>65</v>
      </c>
      <c r="F4" s="8" t="s">
        <v>171</v>
      </c>
      <c r="G4" s="8" t="s">
        <v>172</v>
      </c>
      <c r="H4" s="9" t="s">
        <v>173</v>
      </c>
      <c r="I4" s="9" t="s">
        <v>22</v>
      </c>
      <c r="J4" s="9" t="s">
        <v>174</v>
      </c>
    </row>
    <row r="5" customFormat="false" ht="15" hidden="false" customHeight="false" outlineLevel="0" collapsed="false">
      <c r="B5" s="49"/>
      <c r="C5" s="49"/>
      <c r="D5" s="49"/>
      <c r="E5" s="50"/>
      <c r="F5" s="50"/>
      <c r="G5" s="50"/>
      <c r="H5" s="51" t="str">
        <f aca="false">IF(COUNT(F5:G5)=0,"",SUM(F5:G5))</f>
        <v/>
      </c>
      <c r="I5" s="51" t="str">
        <f aca="false">IFERROR(INDEX(設定!$C$13:$C$17,MATCH(H5,設定!$A$13:$A$17,1)),"")</f>
        <v/>
      </c>
      <c r="J5" s="49"/>
    </row>
    <row r="6" customFormat="false" ht="15" hidden="false" customHeight="false" outlineLevel="0" collapsed="false">
      <c r="B6" s="49"/>
      <c r="C6" s="49"/>
      <c r="D6" s="49"/>
      <c r="E6" s="50"/>
      <c r="F6" s="50"/>
      <c r="G6" s="50"/>
      <c r="H6" s="51" t="str">
        <f aca="false">IF(COUNT(F6:G6)=0,"",SUM(F6:G6))</f>
        <v/>
      </c>
      <c r="I6" s="51" t="str">
        <f aca="false">IFERROR(INDEX(設定!$C$13:$C$17,MATCH(H6,設定!$A$13:$A$17,1)),"")</f>
        <v/>
      </c>
      <c r="J6" s="49"/>
    </row>
    <row r="7" customFormat="false" ht="15" hidden="false" customHeight="false" outlineLevel="0" collapsed="false">
      <c r="B7" s="49"/>
      <c r="C7" s="49"/>
      <c r="D7" s="49"/>
      <c r="E7" s="50"/>
      <c r="F7" s="50"/>
      <c r="G7" s="50"/>
      <c r="H7" s="51" t="str">
        <f aca="false">IF(COUNT(F7:G7)=0,"",SUM(F7:G7))</f>
        <v/>
      </c>
      <c r="I7" s="51" t="str">
        <f aca="false">IFERROR(INDEX(設定!$C$13:$C$17,MATCH(H7,設定!$A$13:$A$17,1)),"")</f>
        <v/>
      </c>
      <c r="J7" s="49"/>
    </row>
    <row r="8" customFormat="false" ht="15" hidden="false" customHeight="false" outlineLevel="0" collapsed="false">
      <c r="B8" s="49"/>
      <c r="C8" s="49"/>
      <c r="D8" s="49"/>
      <c r="E8" s="50"/>
      <c r="F8" s="50"/>
      <c r="G8" s="50"/>
      <c r="H8" s="51" t="str">
        <f aca="false">IF(COUNT(F8:G8)=0,"",SUM(F8:G8))</f>
        <v/>
      </c>
      <c r="I8" s="51" t="str">
        <f aca="false">IFERROR(INDEX(設定!$C$13:$C$17,MATCH(H8,設定!$A$13:$A$17,1)),"")</f>
        <v/>
      </c>
      <c r="J8" s="49"/>
    </row>
    <row r="9" customFormat="false" ht="15" hidden="false" customHeight="false" outlineLevel="0" collapsed="false">
      <c r="B9" s="49"/>
      <c r="C9" s="49"/>
      <c r="D9" s="49"/>
      <c r="E9" s="50"/>
      <c r="F9" s="50"/>
      <c r="G9" s="50"/>
      <c r="H9" s="51" t="str">
        <f aca="false">IF(COUNT(F9:G9)=0,"",SUM(F9:G9))</f>
        <v/>
      </c>
      <c r="I9" s="51" t="str">
        <f aca="false">IFERROR(INDEX(設定!$C$13:$C$17,MATCH(H9,設定!$A$13:$A$17,1)),"")</f>
        <v/>
      </c>
      <c r="J9" s="49"/>
    </row>
    <row r="10" customFormat="false" ht="15" hidden="false" customHeight="false" outlineLevel="0" collapsed="false">
      <c r="B10" s="49"/>
      <c r="C10" s="49"/>
      <c r="D10" s="49"/>
      <c r="E10" s="50"/>
      <c r="F10" s="50"/>
      <c r="G10" s="50"/>
      <c r="H10" s="51" t="str">
        <f aca="false">IF(COUNT(F10:G10)=0,"",SUM(F10:G10))</f>
        <v/>
      </c>
      <c r="I10" s="51" t="str">
        <f aca="false">IFERROR(INDEX(設定!$C$13:$C$17,MATCH(H10,設定!$A$13:$A$17,1)),"")</f>
        <v/>
      </c>
      <c r="J10" s="49"/>
    </row>
    <row r="11" customFormat="false" ht="15" hidden="false" customHeight="false" outlineLevel="0" collapsed="false">
      <c r="B11" s="49"/>
      <c r="C11" s="49"/>
      <c r="D11" s="49"/>
      <c r="E11" s="50"/>
      <c r="F11" s="50"/>
      <c r="G11" s="50"/>
      <c r="H11" s="51" t="str">
        <f aca="false">IF(COUNT(F11:G11)=0,"",SUM(F11:G11))</f>
        <v/>
      </c>
      <c r="I11" s="51" t="str">
        <f aca="false">IFERROR(INDEX(設定!$C$13:$C$17,MATCH(H11,設定!$A$13:$A$17,1)),"")</f>
        <v/>
      </c>
      <c r="J11" s="49"/>
    </row>
    <row r="12" customFormat="false" ht="15" hidden="false" customHeight="false" outlineLevel="0" collapsed="false">
      <c r="B12" s="49"/>
      <c r="C12" s="49"/>
      <c r="D12" s="49"/>
      <c r="E12" s="50"/>
      <c r="F12" s="50"/>
      <c r="G12" s="50"/>
      <c r="H12" s="51" t="str">
        <f aca="false">IF(COUNT(F12:G12)=0,"",SUM(F12:G12))</f>
        <v/>
      </c>
      <c r="I12" s="51" t="str">
        <f aca="false">IFERROR(INDEX(設定!$C$13:$C$17,MATCH(H12,設定!$A$13:$A$17,1)),"")</f>
        <v/>
      </c>
      <c r="J12" s="49"/>
    </row>
    <row r="13" customFormat="false" ht="15" hidden="false" customHeight="false" outlineLevel="0" collapsed="false">
      <c r="B13" s="49"/>
      <c r="C13" s="49"/>
      <c r="D13" s="49"/>
      <c r="E13" s="50"/>
      <c r="F13" s="50"/>
      <c r="G13" s="50"/>
      <c r="H13" s="51" t="str">
        <f aca="false">IF(COUNT(F13:G13)=0,"",SUM(F13:G13))</f>
        <v/>
      </c>
      <c r="I13" s="51" t="str">
        <f aca="false">IFERROR(INDEX(設定!$C$13:$C$17,MATCH(H13,設定!$A$13:$A$17,1)),"")</f>
        <v/>
      </c>
      <c r="J13" s="49"/>
    </row>
    <row r="14" customFormat="false" ht="15" hidden="false" customHeight="false" outlineLevel="0" collapsed="false">
      <c r="B14" s="49"/>
      <c r="C14" s="49"/>
      <c r="D14" s="49"/>
      <c r="E14" s="50"/>
      <c r="F14" s="50"/>
      <c r="G14" s="50"/>
      <c r="H14" s="51" t="str">
        <f aca="false">IF(COUNT(F14:G14)=0,"",SUM(F14:G14))</f>
        <v/>
      </c>
      <c r="I14" s="51" t="str">
        <f aca="false">IFERROR(INDEX(設定!$C$13:$C$17,MATCH(H14,設定!$A$13:$A$17,1)),"")</f>
        <v/>
      </c>
      <c r="J14" s="49"/>
    </row>
    <row r="15" customFormat="false" ht="15" hidden="false" customHeight="false" outlineLevel="0" collapsed="false">
      <c r="B15" s="49"/>
      <c r="C15" s="49"/>
      <c r="D15" s="49"/>
      <c r="E15" s="50"/>
      <c r="F15" s="50"/>
      <c r="G15" s="50"/>
      <c r="H15" s="51" t="str">
        <f aca="false">IF(COUNT(F15:G15)=0,"",SUM(F15:G15))</f>
        <v/>
      </c>
      <c r="I15" s="51" t="str">
        <f aca="false">IFERROR(INDEX(設定!$C$13:$C$17,MATCH(H15,設定!$A$13:$A$17,1)),"")</f>
        <v/>
      </c>
      <c r="J15" s="49"/>
    </row>
    <row r="16" customFormat="false" ht="15" hidden="false" customHeight="false" outlineLevel="0" collapsed="false">
      <c r="B16" s="49"/>
      <c r="C16" s="49"/>
      <c r="D16" s="49"/>
      <c r="E16" s="50"/>
      <c r="F16" s="50"/>
      <c r="G16" s="50"/>
      <c r="H16" s="51" t="str">
        <f aca="false">IF(COUNT(F16:G16)=0,"",SUM(F16:G16))</f>
        <v/>
      </c>
      <c r="I16" s="51" t="str">
        <f aca="false">IFERROR(INDEX(設定!$C$13:$C$17,MATCH(H16,設定!$A$13:$A$17,1)),"")</f>
        <v/>
      </c>
      <c r="J16" s="49"/>
    </row>
    <row r="17" customFormat="false" ht="15" hidden="false" customHeight="false" outlineLevel="0" collapsed="false">
      <c r="B17" s="49"/>
      <c r="C17" s="49"/>
      <c r="D17" s="49"/>
      <c r="E17" s="50"/>
      <c r="F17" s="50"/>
      <c r="G17" s="50"/>
      <c r="H17" s="51" t="str">
        <f aca="false">IF(COUNT(F17:G17)=0,"",SUM(F17:G17))</f>
        <v/>
      </c>
      <c r="I17" s="51" t="str">
        <f aca="false">IFERROR(INDEX(設定!$C$13:$C$17,MATCH(H17,設定!$A$13:$A$17,1)),"")</f>
        <v/>
      </c>
      <c r="J17" s="49"/>
    </row>
    <row r="18" customFormat="false" ht="15" hidden="false" customHeight="false" outlineLevel="0" collapsed="false">
      <c r="B18" s="49"/>
      <c r="C18" s="49"/>
      <c r="D18" s="49"/>
      <c r="E18" s="50"/>
      <c r="F18" s="50"/>
      <c r="G18" s="50"/>
      <c r="H18" s="51" t="str">
        <f aca="false">IF(COUNT(F18:G18)=0,"",SUM(F18:G18))</f>
        <v/>
      </c>
      <c r="I18" s="51" t="str">
        <f aca="false">IFERROR(INDEX(設定!$C$13:$C$17,MATCH(H18,設定!$A$13:$A$17,1)),"")</f>
        <v/>
      </c>
      <c r="J18" s="49"/>
    </row>
    <row r="19" customFormat="false" ht="15" hidden="false" customHeight="false" outlineLevel="0" collapsed="false">
      <c r="B19" s="49"/>
      <c r="C19" s="49"/>
      <c r="D19" s="49"/>
      <c r="E19" s="50"/>
      <c r="F19" s="50"/>
      <c r="G19" s="50"/>
      <c r="H19" s="51" t="str">
        <f aca="false">IF(COUNT(F19:G19)=0,"",SUM(F19:G19))</f>
        <v/>
      </c>
      <c r="I19" s="51" t="str">
        <f aca="false">IFERROR(INDEX(設定!$C$13:$C$17,MATCH(H19,設定!$A$13:$A$17,1)),"")</f>
        <v/>
      </c>
      <c r="J19" s="49"/>
    </row>
    <row r="20" customFormat="false" ht="15" hidden="false" customHeight="false" outlineLevel="0" collapsed="false">
      <c r="B20" s="49"/>
      <c r="C20" s="49"/>
      <c r="D20" s="49"/>
      <c r="E20" s="50"/>
      <c r="F20" s="50"/>
      <c r="G20" s="50"/>
      <c r="H20" s="51" t="str">
        <f aca="false">IF(COUNT(F20:G20)=0,"",SUM(F20:G20))</f>
        <v/>
      </c>
      <c r="I20" s="51" t="str">
        <f aca="false">IFERROR(INDEX(設定!$C$13:$C$17,MATCH(H20,設定!$A$13:$A$17,1)),"")</f>
        <v/>
      </c>
      <c r="J20" s="49"/>
    </row>
    <row r="21" customFormat="false" ht="15" hidden="false" customHeight="false" outlineLevel="0" collapsed="false">
      <c r="B21" s="49"/>
      <c r="C21" s="49"/>
      <c r="D21" s="49"/>
      <c r="E21" s="50"/>
      <c r="F21" s="50"/>
      <c r="G21" s="50"/>
      <c r="H21" s="51" t="str">
        <f aca="false">IF(COUNT(F21:G21)=0,"",SUM(F21:G21))</f>
        <v/>
      </c>
      <c r="I21" s="51" t="str">
        <f aca="false">IFERROR(INDEX(設定!$C$13:$C$17,MATCH(H21,設定!$A$13:$A$17,1)),"")</f>
        <v/>
      </c>
      <c r="J21" s="49"/>
    </row>
    <row r="22" customFormat="false" ht="15" hidden="false" customHeight="false" outlineLevel="0" collapsed="false">
      <c r="B22" s="49"/>
      <c r="C22" s="49"/>
      <c r="D22" s="49"/>
      <c r="E22" s="50"/>
      <c r="F22" s="50"/>
      <c r="G22" s="50"/>
      <c r="H22" s="51" t="str">
        <f aca="false">IF(COUNT(F22:G22)=0,"",SUM(F22:G22))</f>
        <v/>
      </c>
      <c r="I22" s="51" t="str">
        <f aca="false">IFERROR(INDEX(設定!$C$13:$C$17,MATCH(H22,設定!$A$13:$A$17,1)),"")</f>
        <v/>
      </c>
      <c r="J22" s="49"/>
    </row>
    <row r="23" customFormat="false" ht="15" hidden="false" customHeight="false" outlineLevel="0" collapsed="false">
      <c r="B23" s="49"/>
      <c r="C23" s="49"/>
      <c r="D23" s="49"/>
      <c r="E23" s="50"/>
      <c r="F23" s="50"/>
      <c r="G23" s="50"/>
      <c r="H23" s="51" t="str">
        <f aca="false">IF(COUNT(F23:G23)=0,"",SUM(F23:G23))</f>
        <v/>
      </c>
      <c r="I23" s="51" t="str">
        <f aca="false">IFERROR(INDEX(設定!$C$13:$C$17,MATCH(H23,設定!$A$13:$A$17,1)),"")</f>
        <v/>
      </c>
      <c r="J23" s="49"/>
    </row>
    <row r="24" customFormat="false" ht="15" hidden="false" customHeight="false" outlineLevel="0" collapsed="false">
      <c r="B24" s="49"/>
      <c r="C24" s="49"/>
      <c r="D24" s="49"/>
      <c r="E24" s="50"/>
      <c r="F24" s="50"/>
      <c r="G24" s="50"/>
      <c r="H24" s="51" t="str">
        <f aca="false">IF(COUNT(F24:G24)=0,"",SUM(F24:G24))</f>
        <v/>
      </c>
      <c r="I24" s="51" t="str">
        <f aca="false">IFERROR(INDEX(設定!$C$13:$C$17,MATCH(H24,設定!$A$13:$A$17,1)),"")</f>
        <v/>
      </c>
      <c r="J24" s="49"/>
    </row>
    <row r="25" customFormat="false" ht="15" hidden="false" customHeight="false" outlineLevel="0" collapsed="false">
      <c r="B25" s="49"/>
      <c r="C25" s="49"/>
      <c r="D25" s="49"/>
      <c r="E25" s="50"/>
      <c r="F25" s="50"/>
      <c r="G25" s="50"/>
      <c r="H25" s="51" t="str">
        <f aca="false">IF(COUNT(F25:G25)=0,"",SUM(F25:G25))</f>
        <v/>
      </c>
      <c r="I25" s="51" t="str">
        <f aca="false">IFERROR(INDEX(設定!$C$13:$C$17,MATCH(H25,設定!$A$13:$A$17,1)),"")</f>
        <v/>
      </c>
      <c r="J25" s="49"/>
    </row>
    <row r="26" customFormat="false" ht="15" hidden="false" customHeight="false" outlineLevel="0" collapsed="false">
      <c r="B26" s="49"/>
      <c r="C26" s="49"/>
      <c r="D26" s="49"/>
      <c r="E26" s="50"/>
      <c r="F26" s="50"/>
      <c r="G26" s="50"/>
      <c r="H26" s="51" t="str">
        <f aca="false">IF(COUNT(F26:G26)=0,"",SUM(F26:G26))</f>
        <v/>
      </c>
      <c r="I26" s="51" t="str">
        <f aca="false">IFERROR(INDEX(設定!$C$13:$C$17,MATCH(H26,設定!$A$13:$A$17,1)),"")</f>
        <v/>
      </c>
      <c r="J26" s="49"/>
    </row>
    <row r="27" customFormat="false" ht="15" hidden="false" customHeight="false" outlineLevel="0" collapsed="false">
      <c r="B27" s="49"/>
      <c r="C27" s="49"/>
      <c r="D27" s="49"/>
      <c r="E27" s="50"/>
      <c r="F27" s="50"/>
      <c r="G27" s="50"/>
      <c r="H27" s="51" t="str">
        <f aca="false">IF(COUNT(F27:G27)=0,"",SUM(F27:G27))</f>
        <v/>
      </c>
      <c r="I27" s="51" t="str">
        <f aca="false">IFERROR(INDEX(設定!$C$13:$C$17,MATCH(H27,設定!$A$13:$A$17,1)),"")</f>
        <v/>
      </c>
      <c r="J27" s="49"/>
    </row>
    <row r="28" customFormat="false" ht="15" hidden="false" customHeight="false" outlineLevel="0" collapsed="false">
      <c r="B28" s="49"/>
      <c r="C28" s="49"/>
      <c r="D28" s="49"/>
      <c r="E28" s="50"/>
      <c r="F28" s="50"/>
      <c r="G28" s="50"/>
      <c r="H28" s="51" t="str">
        <f aca="false">IF(COUNT(F28:G28)=0,"",SUM(F28:G28))</f>
        <v/>
      </c>
      <c r="I28" s="51" t="str">
        <f aca="false">IFERROR(INDEX(設定!$C$13:$C$17,MATCH(H28,設定!$A$13:$A$17,1)),"")</f>
        <v/>
      </c>
      <c r="J28" s="49"/>
    </row>
    <row r="29" customFormat="false" ht="15" hidden="false" customHeight="false" outlineLevel="0" collapsed="false">
      <c r="B29" s="49"/>
      <c r="C29" s="49"/>
      <c r="D29" s="49"/>
      <c r="E29" s="50"/>
      <c r="F29" s="50"/>
      <c r="G29" s="50"/>
      <c r="H29" s="51" t="str">
        <f aca="false">IF(COUNT(F29:G29)=0,"",SUM(F29:G29))</f>
        <v/>
      </c>
      <c r="I29" s="51" t="str">
        <f aca="false">IFERROR(INDEX(設定!$C$13:$C$17,MATCH(H29,設定!$A$13:$A$17,1)),"")</f>
        <v/>
      </c>
      <c r="J29" s="49"/>
    </row>
    <row r="31" customFormat="false" ht="15" hidden="false" customHeight="false" outlineLevel="0" collapsed="false">
      <c r="B31" s="29" t="s">
        <v>175</v>
      </c>
      <c r="F31" s="52" t="str">
        <f aca="false">IFERROR(AVERAGE(F5:F29),"")</f>
        <v/>
      </c>
      <c r="G31" s="52" t="str">
        <f aca="false">IFERROR(AVERAGE(G5:G29),"")</f>
        <v/>
      </c>
      <c r="H31" s="52" t="str">
        <f aca="false">IFERROR(AVERAGE(H5:H29),"")</f>
        <v/>
      </c>
    </row>
    <row r="32" customFormat="false" ht="15" hidden="false" customHeight="false" outlineLevel="0" collapsed="false">
      <c r="B32" s="5" t="s">
        <v>176</v>
      </c>
      <c r="F32" s="23" t="n">
        <f aca="false">COUNT(H5:H29)</f>
        <v>0</v>
      </c>
    </row>
  </sheetData>
  <mergeCells count="2">
    <mergeCell ref="A1:H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2026-09-11T17:05:04Z</dcterms:created>
  <dc:creator>openpyxl</dc:creator>
  <dc:description/>
  <dc:language>en-US</dc:language>
  <cp:lastModifiedBy/>
  <dcterms:modified xsi:type="dcterms:W3CDTF">2026-09-11T17:05:04Z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
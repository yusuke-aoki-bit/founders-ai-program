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はじめに" sheetId="1" state="visible" r:id="rId3"/>
    <sheet name="①業務棚卸し" sheetId="2" state="visible" r:id="rId4"/>
    <sheet name="②プロンプト集" sheetId="3" state="visible" r:id="rId5"/>
    <sheet name="④月次レポート" sheetId="4" state="visible" r:id="rId6"/>
    <sheet name="⑦12か月ロードマップ" sheetId="5" state="visible" r:id="rId7"/>
    <sheet name="⑨不足資料リスト" sheetId="6" state="visible" r:id="rId8"/>
    <sheet name="⑩多工程タスク設計書" sheetId="7" state="visible" r:id="rId9"/>
    <sheet name="⑪正解セット10件" sheetId="8" state="visible" r:id="rId10"/>
    <sheet name="⑪月次チェック記録" sheetId="9" state="visible" r:id="rId11"/>
    <sheet name="⑫権限・費用管理表" sheetId="10" state="visible" r:id="rId12"/>
    <sheet name="⑫効果測定シート" sheetId="11" state="visible" r:id="rId13"/>
    <sheet name="習得チェックリスト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<sst xmlns="http://schemas.openxmlformats.org/spreadsheetml/2006/main" count="285" uniqueCount="260">
  <si>
    <r>
      <rPr>
        <b val="true"/>
        <sz val="13"/>
        <color rgb="FFFFFFFF"/>
        <rFont val="Noto Sans CJK SC"/>
        <family val="2"/>
      </rPr>
      <t xml:space="preserve">経営者のための</t>
    </r>
    <r>
      <rPr>
        <b val="true"/>
        <sz val="13"/>
        <color rgb="FFFFFFFF"/>
        <rFont val="Arial"/>
        <family val="0"/>
        <charset val="1"/>
      </rPr>
      <t xml:space="preserve">AI</t>
    </r>
    <r>
      <rPr>
        <b val="true"/>
        <sz val="13"/>
        <color rgb="FFFFFFFF"/>
        <rFont val="Noto Sans CJK SC"/>
        <family val="2"/>
      </rPr>
      <t xml:space="preserve">実装講座　成果物テンプレート集</t>
    </r>
  </si>
  <si>
    <t xml:space="preserve">■ これは何か</t>
  </si>
  <si>
    <r>
      <rPr>
        <sz val="10"/>
        <rFont val="Noto Sans CJK SC"/>
        <family val="2"/>
      </rPr>
      <t xml:space="preserve">全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回の講座で受講者が作る成果物の雛形です。各シートに記入例が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行入っています。</t>
    </r>
  </si>
  <si>
    <t xml:space="preserve">講座中に一から作らず、このシートを開いて一緒に埋めてください。</t>
  </si>
  <si>
    <t xml:space="preserve">■ 色の意味</t>
  </si>
  <si>
    <t xml:space="preserve">黄色のセル</t>
  </si>
  <si>
    <t xml:space="preserve">受講者に記入していただく欄です</t>
  </si>
  <si>
    <t xml:space="preserve">灰色の斜体</t>
  </si>
  <si>
    <t xml:space="preserve">記入例です。実際に使うときは行ごと削除してください</t>
  </si>
  <si>
    <t xml:space="preserve">水色のセル</t>
  </si>
  <si>
    <t xml:space="preserve">項目名。書き換えないでください（数式が参照しています）</t>
  </si>
  <si>
    <t xml:space="preserve">■ シート一覧</t>
  </si>
  <si>
    <t xml:space="preserve">①業務棚卸し</t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</si>
  <si>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回。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化する業務 上位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つを決めます</t>
    </r>
  </si>
  <si>
    <t xml:space="preserve">②プロンプト集</t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</si>
  <si>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・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回。指示の型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要素で書いた指示文を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本ためます</t>
    </r>
  </si>
  <si>
    <t xml:space="preserve">④月次レポート</t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</si>
  <si>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回。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と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は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に計算させません</t>
    </r>
  </si>
  <si>
    <r>
      <rPr>
        <b val="true"/>
        <sz val="10"/>
        <rFont val="Arial"/>
        <family val="0"/>
        <charset val="1"/>
      </rPr>
      <t xml:space="preserve">⑦12</t>
    </r>
    <r>
      <rPr>
        <b val="true"/>
        <sz val="10"/>
        <rFont val="Noto Sans CJK SC"/>
        <family val="2"/>
      </rPr>
      <t xml:space="preserve">か月ロードマップ</t>
    </r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</si>
  <si>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回に作成、第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回に改訂。各期に担当と「やめる基準」を必ず書きます</t>
    </r>
  </si>
  <si>
    <t xml:space="preserve">⑨不足資料リスト</t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</si>
  <si>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8</t>
    </r>
    <r>
      <rPr>
        <sz val="10"/>
        <rFont val="Noto Sans CJK SC"/>
        <family val="2"/>
      </rPr>
      <t xml:space="preserve">回。答えられなかった質問から作ります。事業承継の課題リストになります</t>
    </r>
  </si>
  <si>
    <t xml:space="preserve">⑩多工程タスク設計書</t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</si>
  <si>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回。確認ポイントは最も上流に置きます</t>
    </r>
  </si>
  <si>
    <r>
      <rPr>
        <b val="true"/>
        <sz val="10"/>
        <rFont val="Noto Sans CJK SC"/>
        <family val="2"/>
      </rPr>
      <t xml:space="preserve">⑪正解セット</t>
    </r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Noto Sans CJK SC"/>
        <family val="2"/>
      </rPr>
      <t xml:space="preserve">件</t>
    </r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</si>
  <si>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回。毎月同じ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件を流します。点数＝○の件数</t>
    </r>
  </si>
  <si>
    <t xml:space="preserve">⑪月次チェック記録</t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</si>
  <si>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回。毎月の点数を記録し、劣化に気づくための表です</t>
    </r>
  </si>
  <si>
    <t xml:space="preserve">⑫権限・費用管理表</t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</si>
  <si>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回。個人名義の契約が残っていないかを洗います</t>
    </r>
  </si>
  <si>
    <t xml:space="preserve">⑫効果測定シート</t>
  </si>
  <si>
    <r>
      <rPr>
        <sz val="10"/>
        <rFont val="Noto Sans CJK SC"/>
        <family val="2"/>
      </rPr>
      <t xml:space="preserve">第</t>
    </r>
    <r>
      <rPr>
        <sz val="10"/>
        <rFont val="Arial"/>
        <family val="0"/>
        <charset val="1"/>
      </rPr>
      <t xml:space="preserve">11</t>
    </r>
    <r>
      <rPr>
        <sz val="10"/>
        <rFont val="Noto Sans CJK SC"/>
        <family val="2"/>
      </rPr>
      <t xml:space="preserve">回。時間・品質・範囲・金額の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行。金額だけで語りません</t>
    </r>
  </si>
  <si>
    <t xml:space="preserve">習得チェックリスト</t>
  </si>
  <si>
    <r>
      <rPr>
        <sz val="10"/>
        <rFont val="Noto Sans CJK SC"/>
        <family val="2"/>
      </rPr>
      <t xml:space="preserve">講師用。毎回の終わりに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行埋めます</t>
    </r>
  </si>
  <si>
    <t xml:space="preserve">■ 注意</t>
  </si>
  <si>
    <t xml:space="preserve">掲載している数値は、記入例のための架空のものです。</t>
  </si>
  <si>
    <r>
      <rPr>
        <sz val="10"/>
        <rFont val="Noto Sans CJK SC"/>
        <family val="2"/>
      </rPr>
      <t xml:space="preserve">①〜⑫はこの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冊の通し番号です。募集資料の「持ち帰るもの①〜⑦」とは別の番号です。</t>
    </r>
  </si>
  <si>
    <r>
      <rPr>
        <sz val="10"/>
        <rFont val="Noto Sans CJK SC"/>
        <family val="2"/>
      </rPr>
      <t xml:space="preserve">文書型の成果物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点（③社内文書テンプレ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種／⑤自社専用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仕様書／⑥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利用ルール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／⑧自動化フロー設計メモ／⑫推進体制図／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年構想）は、</t>
    </r>
  </si>
  <si>
    <r>
      <rPr>
        <sz val="10"/>
        <rFont val="Noto Sans CJK SC"/>
        <family val="2"/>
      </rPr>
      <t xml:space="preserve">別冊「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実装講座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成果物テンプレート集</t>
    </r>
    <r>
      <rPr>
        <sz val="10"/>
        <rFont val="Arial"/>
        <family val="0"/>
        <charset val="1"/>
      </rPr>
      <t xml:space="preserve">_</t>
    </r>
    <r>
      <rPr>
        <sz val="10"/>
        <rFont val="Noto Sans CJK SC"/>
        <family val="2"/>
      </rPr>
      <t xml:space="preserve">文書編</t>
    </r>
    <r>
      <rPr>
        <sz val="10"/>
        <rFont val="Arial"/>
        <family val="0"/>
        <charset val="1"/>
      </rPr>
      <t xml:space="preserve">.docx</t>
    </r>
    <r>
      <rPr>
        <sz val="10"/>
        <rFont val="Noto Sans CJK SC"/>
        <family val="2"/>
      </rPr>
      <t xml:space="preserve">」にあります。この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冊で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回分の成果物がすべて揃います。</t>
    </r>
  </si>
  <si>
    <r>
      <rPr>
        <b val="true"/>
        <sz val="13"/>
        <color rgb="FFFFFFFF"/>
        <rFont val="Noto Sans CJK SC"/>
        <family val="2"/>
      </rPr>
      <t xml:space="preserve">①　業務棚卸しシート　（第</t>
    </r>
    <r>
      <rPr>
        <b val="true"/>
        <sz val="13"/>
        <color rgb="FFFFFFFF"/>
        <rFont val="Arial"/>
        <family val="0"/>
        <charset val="1"/>
      </rPr>
      <t xml:space="preserve">1</t>
    </r>
    <r>
      <rPr>
        <b val="true"/>
        <sz val="13"/>
        <color rgb="FFFFFFFF"/>
        <rFont val="Noto Sans CJK SC"/>
        <family val="2"/>
      </rPr>
      <t xml:space="preserve">回）</t>
    </r>
  </si>
  <si>
    <r>
      <rPr>
        <sz val="10"/>
        <color rgb="FFC00000"/>
        <rFont val="Arial"/>
        <family val="0"/>
        <charset val="1"/>
      </rPr>
      <t xml:space="preserve">AI</t>
    </r>
    <r>
      <rPr>
        <sz val="10"/>
        <color rgb="FFC00000"/>
        <rFont val="Noto Sans CJK SC"/>
        <family val="2"/>
      </rPr>
      <t xml:space="preserve">化する業務を</t>
    </r>
    <r>
      <rPr>
        <sz val="10"/>
        <color rgb="FFC00000"/>
        <rFont val="Arial"/>
        <family val="0"/>
        <charset val="1"/>
      </rPr>
      <t xml:space="preserve">3</t>
    </r>
    <r>
      <rPr>
        <sz val="10"/>
        <color rgb="FFC00000"/>
        <rFont val="Noto Sans CJK SC"/>
        <family val="2"/>
      </rPr>
      <t xml:space="preserve">つに絞るための表です。時間の長さだけで選ばないでください。「型が決まっているか」と「間違えたときの痛み」で決めます。</t>
    </r>
  </si>
  <si>
    <t xml:space="preserve">業務名</t>
  </si>
  <si>
    <t xml:space="preserve">誰が</t>
  </si>
  <si>
    <r>
      <rPr>
        <b val="true"/>
        <sz val="10"/>
        <color rgb="FFFFFFFF"/>
        <rFont val="Noto Sans CJK SC"/>
        <family val="2"/>
      </rPr>
      <t xml:space="preserve">頻度（回</t>
    </r>
    <r>
      <rPr>
        <b val="true"/>
        <sz val="10"/>
        <color rgb="FFFFFFFF"/>
        <rFont val="Arial"/>
        <family val="0"/>
        <charset val="1"/>
      </rPr>
      <t xml:space="preserve">/</t>
    </r>
    <r>
      <rPr>
        <b val="true"/>
        <sz val="10"/>
        <color rgb="FFFFFFFF"/>
        <rFont val="Noto Sans CJK SC"/>
        <family val="2"/>
      </rPr>
      <t xml:space="preserve">月）</t>
    </r>
  </si>
  <si>
    <r>
      <rPr>
        <b val="true"/>
        <sz val="10"/>
        <color rgb="FFFFFFFF"/>
        <rFont val="Arial"/>
        <family val="0"/>
        <charset val="1"/>
      </rPr>
      <t xml:space="preserve">1</t>
    </r>
    <r>
      <rPr>
        <b val="true"/>
        <sz val="10"/>
        <color rgb="FFFFFFFF"/>
        <rFont val="Noto Sans CJK SC"/>
        <family val="2"/>
      </rPr>
      <t xml:space="preserve">回あたり（分）</t>
    </r>
  </si>
  <si>
    <t xml:space="preserve">月あたり（時間）</t>
  </si>
  <si>
    <t xml:space="preserve">型が決まっているか</t>
  </si>
  <si>
    <t xml:space="preserve">間違えたときの痛み</t>
  </si>
  <si>
    <r>
      <rPr>
        <b val="true"/>
        <sz val="10"/>
        <color rgb="FFFFFFFF"/>
        <rFont val="Arial"/>
        <family val="0"/>
        <charset val="1"/>
      </rPr>
      <t xml:space="preserve">AI</t>
    </r>
    <r>
      <rPr>
        <b val="true"/>
        <sz val="10"/>
        <color rgb="FFFFFFFF"/>
        <rFont val="Noto Sans CJK SC"/>
        <family val="2"/>
      </rPr>
      <t xml:space="preserve">化したい度</t>
    </r>
  </si>
  <si>
    <t xml:space="preserve">見積書の作成</t>
  </si>
  <si>
    <r>
      <rPr>
        <i val="true"/>
        <sz val="9"/>
        <color rgb="FF808080"/>
        <rFont val="Noto Sans CJK SC"/>
        <family val="2"/>
      </rPr>
      <t xml:space="preserve">社長＋事務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Noto Sans CJK SC"/>
        <family val="2"/>
      </rPr>
      <t xml:space="preserve">名</t>
    </r>
  </si>
  <si>
    <t xml:space="preserve">半分（過去案件探しは毎回同じ）</t>
  </si>
  <si>
    <t xml:space="preserve">中（提出前に社長が確認）</t>
  </si>
  <si>
    <r>
      <rPr>
        <i val="true"/>
        <sz val="9"/>
        <color rgb="FF808080"/>
        <rFont val="Arial"/>
        <family val="0"/>
        <charset val="1"/>
      </rPr>
      <t xml:space="preserve">4</t>
    </r>
    <r>
      <rPr>
        <i val="true"/>
        <sz val="9"/>
        <color rgb="FF808080"/>
        <rFont val="Noto Sans CJK SC"/>
        <family val="2"/>
      </rPr>
      <t xml:space="preserve">：最優先</t>
    </r>
  </si>
  <si>
    <t xml:space="preserve">合計（月あたり）</t>
  </si>
  <si>
    <t xml:space="preserve">■ 最初の一手に選ぶ条件</t>
  </si>
  <si>
    <r>
      <rPr>
        <sz val="10"/>
        <rFont val="Noto Sans CJK SC"/>
        <family val="2"/>
      </rPr>
      <t xml:space="preserve">① 頻度が高い　② 型が決まっている　③ 間違えても取り返しがつく　← この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つを満たすものから選びます</t>
    </r>
  </si>
  <si>
    <r>
      <rPr>
        <sz val="10"/>
        <rFont val="Noto Sans CJK SC"/>
        <family val="2"/>
      </rPr>
      <t xml:space="preserve">契約・与信・人事など、取り返しがつかない業務は自動化しません。下書き支援までに留めます（第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回で扱います）。</t>
    </r>
  </si>
  <si>
    <r>
      <rPr>
        <b val="true"/>
        <sz val="13"/>
        <color rgb="FFFFFFFF"/>
        <rFont val="Noto Sans CJK SC"/>
        <family val="2"/>
      </rPr>
      <t xml:space="preserve">②　自社プロンプト集　（第</t>
    </r>
    <r>
      <rPr>
        <b val="true"/>
        <sz val="13"/>
        <color rgb="FFFFFFFF"/>
        <rFont val="Arial"/>
        <family val="0"/>
        <charset val="1"/>
      </rPr>
      <t xml:space="preserve">2</t>
    </r>
    <r>
      <rPr>
        <b val="true"/>
        <sz val="13"/>
        <color rgb="FFFFFFFF"/>
        <rFont val="Noto Sans CJK SC"/>
        <family val="2"/>
      </rPr>
      <t xml:space="preserve">回 </t>
    </r>
    <r>
      <rPr>
        <b val="true"/>
        <sz val="13"/>
        <color rgb="FFFFFFFF"/>
        <rFont val="Arial"/>
        <family val="0"/>
        <charset val="1"/>
      </rPr>
      <t xml:space="preserve">5</t>
    </r>
    <r>
      <rPr>
        <b val="true"/>
        <sz val="13"/>
        <color rgb="FFFFFFFF"/>
        <rFont val="Noto Sans CJK SC"/>
        <family val="2"/>
      </rPr>
      <t xml:space="preserve">本 → 第</t>
    </r>
    <r>
      <rPr>
        <b val="true"/>
        <sz val="13"/>
        <color rgb="FFFFFFFF"/>
        <rFont val="Arial"/>
        <family val="0"/>
        <charset val="1"/>
      </rPr>
      <t xml:space="preserve">3</t>
    </r>
    <r>
      <rPr>
        <b val="true"/>
        <sz val="13"/>
        <color rgb="FFFFFFFF"/>
        <rFont val="Noto Sans CJK SC"/>
        <family val="2"/>
      </rPr>
      <t xml:space="preserve">回 </t>
    </r>
    <r>
      <rPr>
        <b val="true"/>
        <sz val="13"/>
        <color rgb="FFFFFFFF"/>
        <rFont val="Arial"/>
        <family val="0"/>
        <charset val="1"/>
      </rPr>
      <t xml:space="preserve">10</t>
    </r>
    <r>
      <rPr>
        <b val="true"/>
        <sz val="13"/>
        <color rgb="FFFFFFFF"/>
        <rFont val="Noto Sans CJK SC"/>
        <family val="2"/>
      </rPr>
      <t xml:space="preserve">本追加）</t>
    </r>
  </si>
  <si>
    <r>
      <rPr>
        <sz val="10"/>
        <color rgb="FFC00000"/>
        <rFont val="Noto Sans CJK SC"/>
        <family val="2"/>
      </rPr>
      <t xml:space="preserve">指示の型</t>
    </r>
    <r>
      <rPr>
        <sz val="10"/>
        <color rgb="FFC00000"/>
        <rFont val="Arial"/>
        <family val="0"/>
        <charset val="1"/>
      </rPr>
      <t xml:space="preserve">5</t>
    </r>
    <r>
      <rPr>
        <sz val="10"/>
        <color rgb="FFC00000"/>
        <rFont val="Noto Sans CJK SC"/>
        <family val="2"/>
      </rPr>
      <t xml:space="preserve">要素で書きます。抜けている要素が、そのまま不満の正体です。うまくいった指示が出たら、その場でここに追加してください。</t>
    </r>
  </si>
  <si>
    <t xml:space="preserve">No.</t>
  </si>
  <si>
    <t xml:space="preserve">分類</t>
  </si>
  <si>
    <t xml:space="preserve">タイトル</t>
  </si>
  <si>
    <t xml:space="preserve">① 役割</t>
  </si>
  <si>
    <t xml:space="preserve">② 前提</t>
  </si>
  <si>
    <t xml:space="preserve">③ 依頼</t>
  </si>
  <si>
    <t xml:space="preserve">④ 制約</t>
  </si>
  <si>
    <t xml:space="preserve">⑤ 出力形式</t>
  </si>
  <si>
    <t xml:space="preserve">いつ・誰が使う／確認すること</t>
  </si>
  <si>
    <t xml:space="preserve">見積・価格</t>
  </si>
  <si>
    <t xml:space="preserve">値上げのお願い文をつくる</t>
  </si>
  <si>
    <t xml:space="preserve">あなたは金属加工業の営業担当です。</t>
  </si>
  <si>
    <r>
      <rPr>
        <i val="true"/>
        <sz val="9"/>
        <color rgb="FF808080"/>
        <rFont val="Noto Sans CJK SC"/>
        <family val="2"/>
      </rPr>
      <t xml:space="preserve">取引</t>
    </r>
    <r>
      <rPr>
        <i val="true"/>
        <sz val="9"/>
        <color rgb="FF808080"/>
        <rFont val="Arial"/>
        <family val="0"/>
        <charset val="1"/>
      </rPr>
      <t xml:space="preserve">15</t>
    </r>
    <r>
      <rPr>
        <i val="true"/>
        <sz val="9"/>
        <color rgb="FF808080"/>
        <rFont val="Noto Sans CJK SC"/>
        <family val="2"/>
      </rPr>
      <t xml:space="preserve">年の建設会社が相手。材料費が前年比</t>
    </r>
    <r>
      <rPr>
        <i val="true"/>
        <sz val="9"/>
        <color rgb="FF808080"/>
        <rFont val="Arial"/>
        <family val="0"/>
        <charset val="1"/>
      </rPr>
      <t xml:space="preserve">18%</t>
    </r>
    <r>
      <rPr>
        <i val="true"/>
        <sz val="9"/>
        <color rgb="FF808080"/>
        <rFont val="Noto Sans CJK SC"/>
        <family val="2"/>
      </rPr>
      <t xml:space="preserve">上昇。値上げ幅は</t>
    </r>
    <r>
      <rPr>
        <i val="true"/>
        <sz val="9"/>
        <color rgb="FF808080"/>
        <rFont val="Arial"/>
        <family val="0"/>
        <charset val="1"/>
      </rPr>
      <t xml:space="preserve">8%</t>
    </r>
    <r>
      <rPr>
        <i val="true"/>
        <sz val="9"/>
        <color rgb="FF808080"/>
        <rFont val="Noto Sans CJK SC"/>
        <family val="2"/>
      </rPr>
      <t xml:space="preserve">。担当者とは良好な関係。</t>
    </r>
  </si>
  <si>
    <t xml:space="preserve">値上げのお願い文を作ってください。</t>
  </si>
  <si>
    <r>
      <rPr>
        <i val="true"/>
        <sz val="9"/>
        <color rgb="FF808080"/>
        <rFont val="Noto Sans CJK SC"/>
        <family val="2"/>
      </rPr>
      <t xml:space="preserve">関係を壊さない／根拠の数字を入れる／</t>
    </r>
    <r>
      <rPr>
        <i val="true"/>
        <sz val="9"/>
        <color rgb="FF808080"/>
        <rFont val="Arial"/>
        <family val="0"/>
        <charset val="1"/>
      </rPr>
      <t xml:space="preserve">600</t>
    </r>
    <r>
      <rPr>
        <i val="true"/>
        <sz val="9"/>
        <color rgb="FF808080"/>
        <rFont val="Noto Sans CJK SC"/>
        <family val="2"/>
      </rPr>
      <t xml:space="preserve">字以内</t>
    </r>
  </si>
  <si>
    <t xml:space="preserve">件名＋本文。丁寧語。押しつけがましくしない。</t>
  </si>
  <si>
    <t xml:space="preserve">仕入価格が変わったとき／社長・営業／数字が実際の値と合っているか</t>
  </si>
  <si>
    <r>
      <rPr>
        <b val="true"/>
        <sz val="13"/>
        <color rgb="FFFFFFFF"/>
        <rFont val="Noto Sans CJK SC"/>
        <family val="2"/>
      </rPr>
      <t xml:space="preserve">④　月次レポート雛形　（第</t>
    </r>
    <r>
      <rPr>
        <b val="true"/>
        <sz val="13"/>
        <color rgb="FFFFFFFF"/>
        <rFont val="Arial"/>
        <family val="0"/>
        <charset val="1"/>
      </rPr>
      <t xml:space="preserve">4</t>
    </r>
    <r>
      <rPr>
        <b val="true"/>
        <sz val="13"/>
        <color rgb="FFFFFFFF"/>
        <rFont val="Noto Sans CJK SC"/>
        <family val="2"/>
      </rPr>
      <t xml:space="preserve">回）</t>
    </r>
  </si>
  <si>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Noto Sans CJK SC"/>
        <family val="2"/>
      </rPr>
      <t xml:space="preserve">と</t>
    </r>
    <r>
      <rPr>
        <sz val="10"/>
        <color rgb="FFC00000"/>
        <rFont val="Arial"/>
        <family val="0"/>
        <charset val="1"/>
      </rPr>
      <t xml:space="preserve">2</t>
    </r>
    <r>
      <rPr>
        <sz val="10"/>
        <color rgb="FFC00000"/>
        <rFont val="Noto Sans CJK SC"/>
        <family val="2"/>
      </rPr>
      <t xml:space="preserve">は</t>
    </r>
    <r>
      <rPr>
        <sz val="10"/>
        <color rgb="FFC00000"/>
        <rFont val="Arial"/>
        <family val="0"/>
        <charset val="1"/>
      </rPr>
      <t xml:space="preserve">AI</t>
    </r>
    <r>
      <rPr>
        <sz val="10"/>
        <color rgb="FFC00000"/>
        <rFont val="Noto Sans CJK SC"/>
        <family val="2"/>
      </rPr>
      <t xml:space="preserve">に計算させません。集計は表計算、意味を語るのが</t>
    </r>
    <r>
      <rPr>
        <sz val="10"/>
        <color rgb="FFC00000"/>
        <rFont val="Arial"/>
        <family val="0"/>
        <charset val="1"/>
      </rPr>
      <t xml:space="preserve">AI</t>
    </r>
    <r>
      <rPr>
        <sz val="10"/>
        <color rgb="FFC00000"/>
        <rFont val="Noto Sans CJK SC"/>
        <family val="2"/>
      </rPr>
      <t xml:space="preserve">です。この役割分担が、この雛形の要です。</t>
    </r>
  </si>
  <si>
    <t xml:space="preserve">項目</t>
  </si>
  <si>
    <t xml:space="preserve">誰がやるか</t>
  </si>
  <si>
    <t xml:space="preserve">内容</t>
  </si>
  <si>
    <r>
      <rPr>
        <b val="true"/>
        <sz val="10"/>
        <rFont val="Arial"/>
        <family val="0"/>
        <charset val="1"/>
      </rPr>
      <t xml:space="preserve">1. </t>
    </r>
    <r>
      <rPr>
        <b val="true"/>
        <sz val="10"/>
        <rFont val="Noto Sans CJK SC"/>
        <family val="2"/>
      </rPr>
      <t xml:space="preserve">今月の数字</t>
    </r>
  </si>
  <si>
    <t xml:space="preserve">人＋表計算</t>
  </si>
  <si>
    <r>
      <rPr>
        <i val="true"/>
        <sz val="9"/>
        <color rgb="FF808080"/>
        <rFont val="Noto Sans CJK SC"/>
        <family val="2"/>
      </rPr>
      <t xml:space="preserve">例：売上 </t>
    </r>
    <r>
      <rPr>
        <i val="true"/>
        <sz val="9"/>
        <color rgb="FF808080"/>
        <rFont val="Arial"/>
        <family val="0"/>
        <charset val="1"/>
      </rPr>
      <t xml:space="preserve">12,480</t>
    </r>
    <r>
      <rPr>
        <i val="true"/>
        <sz val="9"/>
        <color rgb="FF808080"/>
        <rFont val="Noto Sans CJK SC"/>
        <family val="2"/>
      </rPr>
      <t xml:space="preserve">千円／粗利率 </t>
    </r>
    <r>
      <rPr>
        <i val="true"/>
        <sz val="9"/>
        <color rgb="FF808080"/>
        <rFont val="Arial"/>
        <family val="0"/>
        <charset val="1"/>
      </rPr>
      <t xml:space="preserve">28.4%</t>
    </r>
    <r>
      <rPr>
        <i val="true"/>
        <sz val="9"/>
        <color rgb="FF808080"/>
        <rFont val="Noto Sans CJK SC"/>
        <family val="2"/>
      </rPr>
      <t xml:space="preserve">／新規 </t>
    </r>
    <r>
      <rPr>
        <i val="true"/>
        <sz val="9"/>
        <color rgb="FF808080"/>
        <rFont val="Arial"/>
        <family val="0"/>
        <charset val="1"/>
      </rPr>
      <t xml:space="preserve">3</t>
    </r>
    <r>
      <rPr>
        <i val="true"/>
        <sz val="9"/>
        <color rgb="FF808080"/>
        <rFont val="Noto Sans CJK SC"/>
        <family val="2"/>
      </rPr>
      <t xml:space="preserve">件</t>
    </r>
  </si>
  <si>
    <r>
      <rPr>
        <b val="true"/>
        <sz val="10"/>
        <rFont val="Arial"/>
        <family val="0"/>
        <charset val="1"/>
      </rPr>
      <t xml:space="preserve">2. </t>
    </r>
    <r>
      <rPr>
        <b val="true"/>
        <sz val="10"/>
        <rFont val="Noto Sans CJK SC"/>
        <family val="2"/>
      </rPr>
      <t xml:space="preserve">前月・前年同月との差</t>
    </r>
  </si>
  <si>
    <r>
      <rPr>
        <i val="true"/>
        <sz val="9"/>
        <color rgb="FF808080"/>
        <rFont val="Noto Sans CJK SC"/>
        <family val="2"/>
      </rPr>
      <t xml:space="preserve">例：前月比 </t>
    </r>
    <r>
      <rPr>
        <i val="true"/>
        <sz val="9"/>
        <color rgb="FF808080"/>
        <rFont val="Arial"/>
        <family val="0"/>
        <charset val="1"/>
      </rPr>
      <t xml:space="preserve">+4.2%</t>
    </r>
    <r>
      <rPr>
        <i val="true"/>
        <sz val="9"/>
        <color rgb="FF808080"/>
        <rFont val="Noto Sans CJK SC"/>
        <family val="2"/>
      </rPr>
      <t xml:space="preserve">／前年同月比 −</t>
    </r>
    <r>
      <rPr>
        <i val="true"/>
        <sz val="9"/>
        <color rgb="FF808080"/>
        <rFont val="Arial"/>
        <family val="0"/>
        <charset val="1"/>
      </rPr>
      <t xml:space="preserve">1.8%</t>
    </r>
  </si>
  <si>
    <r>
      <rPr>
        <b val="true"/>
        <sz val="10"/>
        <rFont val="Arial"/>
        <family val="0"/>
        <charset val="1"/>
      </rPr>
      <t xml:space="preserve">3. </t>
    </r>
    <r>
      <rPr>
        <b val="true"/>
        <sz val="10"/>
        <rFont val="Noto Sans CJK SC"/>
        <family val="2"/>
      </rPr>
      <t xml:space="preserve">差が生まれた理由の仮説 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つ</t>
    </r>
  </si>
  <si>
    <t xml:space="preserve">AI</t>
  </si>
  <si>
    <r>
      <rPr>
        <i val="true"/>
        <sz val="9"/>
        <color rgb="FF808080"/>
        <rFont val="Noto Sans CJK SC"/>
        <family val="2"/>
      </rPr>
      <t xml:space="preserve">前提（季節性・特殊要因）を渡してから「反論を</t>
    </r>
    <r>
      <rPr>
        <i val="true"/>
        <sz val="9"/>
        <color rgb="FF808080"/>
        <rFont val="Arial"/>
        <family val="0"/>
        <charset val="1"/>
      </rPr>
      <t xml:space="preserve">3</t>
    </r>
    <r>
      <rPr>
        <i val="true"/>
        <sz val="9"/>
        <color rgb="FF808080"/>
        <rFont val="Noto Sans CJK SC"/>
        <family val="2"/>
      </rPr>
      <t xml:space="preserve">つ」と頼みます</t>
    </r>
  </si>
  <si>
    <r>
      <rPr>
        <b val="true"/>
        <sz val="10"/>
        <rFont val="Arial"/>
        <family val="0"/>
        <charset val="1"/>
      </rPr>
      <t xml:space="preserve">4. </t>
    </r>
    <r>
      <rPr>
        <b val="true"/>
        <sz val="10"/>
        <rFont val="Noto Sans CJK SC"/>
        <family val="2"/>
      </rPr>
      <t xml:space="preserve">仮説を確かめるために見るデータ</t>
    </r>
  </si>
  <si>
    <t xml:space="preserve">どの数字を見れば検証できるかを挙げさせます</t>
  </si>
  <si>
    <r>
      <rPr>
        <b val="true"/>
        <sz val="10"/>
        <rFont val="Arial"/>
        <family val="0"/>
        <charset val="1"/>
      </rPr>
      <t xml:space="preserve">5. </t>
    </r>
    <r>
      <rPr>
        <b val="true"/>
        <sz val="10"/>
        <rFont val="Noto Sans CJK SC"/>
        <family val="2"/>
      </rPr>
      <t xml:space="preserve">来月やること 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つ</t>
    </r>
  </si>
  <si>
    <t xml:space="preserve">人が決める</t>
  </si>
  <si>
    <r>
      <rPr>
        <i val="true"/>
        <sz val="9"/>
        <color rgb="FF808080"/>
        <rFont val="Noto Sans CJK SC"/>
        <family val="2"/>
      </rPr>
      <t xml:space="preserve">ここは</t>
    </r>
    <r>
      <rPr>
        <i val="true"/>
        <sz val="9"/>
        <color rgb="FF808080"/>
        <rFont val="Arial"/>
        <family val="0"/>
        <charset val="1"/>
      </rPr>
      <t xml:space="preserve">AI</t>
    </r>
    <r>
      <rPr>
        <i val="true"/>
        <sz val="9"/>
        <color rgb="FF808080"/>
        <rFont val="Noto Sans CJK SC"/>
        <family val="2"/>
      </rPr>
      <t xml:space="preserve">に渡しません</t>
    </r>
  </si>
  <si>
    <t xml:space="preserve">■ 今月の記入欄</t>
  </si>
  <si>
    <r>
      <rPr>
        <sz val="10"/>
        <color rgb="FFC00000"/>
        <rFont val="Arial"/>
        <family val="0"/>
        <charset val="1"/>
      </rPr>
      <t xml:space="preserve">※ AI</t>
    </r>
    <r>
      <rPr>
        <sz val="10"/>
        <color rgb="FFC00000"/>
        <rFont val="Noto Sans CJK SC"/>
        <family val="2"/>
      </rPr>
      <t xml:space="preserve">が出した数字は必ず検算してください。合計を表計算に戻して突き合わせます。</t>
    </r>
  </si>
  <si>
    <r>
      <rPr>
        <b val="true"/>
        <sz val="13"/>
        <color rgb="FFFFFFFF"/>
        <rFont val="Noto Sans CJK SC"/>
        <family val="2"/>
      </rPr>
      <t xml:space="preserve">⑦　</t>
    </r>
    <r>
      <rPr>
        <b val="true"/>
        <sz val="13"/>
        <color rgb="FFFFFFFF"/>
        <rFont val="Arial"/>
        <family val="0"/>
        <charset val="1"/>
      </rPr>
      <t xml:space="preserve">12</t>
    </r>
    <r>
      <rPr>
        <b val="true"/>
        <sz val="13"/>
        <color rgb="FFFFFFFF"/>
        <rFont val="Noto Sans CJK SC"/>
        <family val="2"/>
      </rPr>
      <t xml:space="preserve">か月</t>
    </r>
    <r>
      <rPr>
        <b val="true"/>
        <sz val="13"/>
        <color rgb="FFFFFFFF"/>
        <rFont val="Arial"/>
        <family val="0"/>
        <charset val="1"/>
      </rPr>
      <t xml:space="preserve">AI</t>
    </r>
    <r>
      <rPr>
        <b val="true"/>
        <sz val="13"/>
        <color rgb="FFFFFFFF"/>
        <rFont val="Noto Sans CJK SC"/>
        <family val="2"/>
      </rPr>
      <t xml:space="preserve">化ロードマップ　（第</t>
    </r>
    <r>
      <rPr>
        <b val="true"/>
        <sz val="13"/>
        <color rgb="FFFFFFFF"/>
        <rFont val="Arial"/>
        <family val="0"/>
        <charset val="1"/>
      </rPr>
      <t xml:space="preserve">6</t>
    </r>
    <r>
      <rPr>
        <b val="true"/>
        <sz val="13"/>
        <color rgb="FFFFFFFF"/>
        <rFont val="Noto Sans CJK SC"/>
        <family val="2"/>
      </rPr>
      <t xml:space="preserve">回に作成／第</t>
    </r>
    <r>
      <rPr>
        <b val="true"/>
        <sz val="13"/>
        <color rgb="FFFFFFFF"/>
        <rFont val="Arial"/>
        <family val="0"/>
        <charset val="1"/>
      </rPr>
      <t xml:space="preserve">12</t>
    </r>
    <r>
      <rPr>
        <b val="true"/>
        <sz val="13"/>
        <color rgb="FFFFFFFF"/>
        <rFont val="Noto Sans CJK SC"/>
        <family val="2"/>
      </rPr>
      <t xml:space="preserve">回に改訂）</t>
    </r>
  </si>
  <si>
    <t xml:space="preserve">各期に「担当者」と「やめる判断の基準」を必ず書いてください。始める基準しか書かれていない計画は、うまくいかなかったときに誰も止められません。</t>
  </si>
  <si>
    <t xml:space="preserve">時期</t>
  </si>
  <si>
    <t xml:space="preserve">テーマ</t>
  </si>
  <si>
    <t xml:space="preserve">やること</t>
  </si>
  <si>
    <t xml:space="preserve">担当者（実名）</t>
  </si>
  <si>
    <t xml:space="preserve">必要な費用（月）</t>
  </si>
  <si>
    <t xml:space="preserve">やめる判断の基準</t>
  </si>
  <si>
    <r>
      <rPr>
        <b val="true"/>
        <i val="true"/>
        <sz val="9"/>
        <color rgb="FF808080"/>
        <rFont val="Arial"/>
        <family val="0"/>
        <charset val="1"/>
      </rPr>
      <t xml:space="preserve">0</t>
    </r>
    <r>
      <rPr>
        <b val="true"/>
        <i val="true"/>
        <sz val="9"/>
        <color rgb="FF808080"/>
        <rFont val="Noto Sans CJK SC"/>
        <family val="2"/>
      </rPr>
      <t xml:space="preserve">〜</t>
    </r>
    <r>
      <rPr>
        <b val="true"/>
        <i val="true"/>
        <sz val="9"/>
        <color rgb="FF808080"/>
        <rFont val="Arial"/>
        <family val="0"/>
        <charset val="1"/>
      </rPr>
      <t xml:space="preserve">3</t>
    </r>
    <r>
      <rPr>
        <b val="true"/>
        <i val="true"/>
        <sz val="9"/>
        <color rgb="FF808080"/>
        <rFont val="Noto Sans CJK SC"/>
        <family val="2"/>
      </rPr>
      <t xml:space="preserve">か月</t>
    </r>
  </si>
  <si>
    <t xml:space="preserve">定着させる</t>
  </si>
  <si>
    <r>
      <rPr>
        <i val="true"/>
        <sz val="9"/>
        <color rgb="FF808080"/>
        <rFont val="Noto Sans CJK SC"/>
        <family val="2"/>
      </rPr>
      <t xml:space="preserve">見積根拠アシスタントを営業</t>
    </r>
    <r>
      <rPr>
        <i val="true"/>
        <sz val="9"/>
        <color rgb="FF808080"/>
        <rFont val="Arial"/>
        <family val="0"/>
        <charset val="1"/>
      </rPr>
      <t xml:space="preserve">2</t>
    </r>
    <r>
      <rPr>
        <i val="true"/>
        <sz val="9"/>
        <color rgb="FF808080"/>
        <rFont val="Noto Sans CJK SC"/>
        <family val="2"/>
      </rPr>
      <t xml:space="preserve">名が毎日使う状態にする。増やさない。</t>
    </r>
  </si>
  <si>
    <r>
      <rPr>
        <i val="true"/>
        <sz val="9"/>
        <color rgb="FF808080"/>
        <rFont val="Noto Sans CJK SC"/>
        <family val="2"/>
      </rPr>
      <t xml:space="preserve">社長＋営業</t>
    </r>
    <r>
      <rPr>
        <i val="true"/>
        <sz val="9"/>
        <color rgb="FF808080"/>
        <rFont val="Arial"/>
        <family val="0"/>
        <charset val="1"/>
      </rPr>
      <t xml:space="preserve">2</t>
    </r>
    <r>
      <rPr>
        <i val="true"/>
        <sz val="9"/>
        <color rgb="FF808080"/>
        <rFont val="Noto Sans CJK SC"/>
        <family val="2"/>
      </rPr>
      <t xml:space="preserve">名</t>
    </r>
  </si>
  <si>
    <r>
      <rPr>
        <i val="true"/>
        <sz val="9"/>
        <color rgb="FF808080"/>
        <rFont val="Arial"/>
        <family val="0"/>
        <charset val="1"/>
      </rPr>
      <t xml:space="preserve">3,000</t>
    </r>
    <r>
      <rPr>
        <i val="true"/>
        <sz val="9"/>
        <color rgb="FF808080"/>
        <rFont val="Noto Sans CJK SC"/>
        <family val="2"/>
      </rPr>
      <t xml:space="preserve">円</t>
    </r>
  </si>
  <si>
    <r>
      <rPr>
        <i val="true"/>
        <sz val="9"/>
        <color rgb="FF808080"/>
        <rFont val="Arial"/>
        <family val="0"/>
        <charset val="1"/>
      </rPr>
      <t xml:space="preserve">3</t>
    </r>
    <r>
      <rPr>
        <i val="true"/>
        <sz val="9"/>
        <color rgb="FF808080"/>
        <rFont val="Noto Sans CJK SC"/>
        <family val="2"/>
      </rPr>
      <t xml:space="preserve">か月使って月</t>
    </r>
    <r>
      <rPr>
        <i val="true"/>
        <sz val="9"/>
        <color rgb="FF808080"/>
        <rFont val="Arial"/>
        <family val="0"/>
        <charset val="1"/>
      </rPr>
      <t xml:space="preserve">5</t>
    </r>
    <r>
      <rPr>
        <i val="true"/>
        <sz val="9"/>
        <color rgb="FF808080"/>
        <rFont val="Noto Sans CJK SC"/>
        <family val="2"/>
      </rPr>
      <t xml:space="preserve">時間削減に届かなければ、対象業務を変える</t>
    </r>
  </si>
  <si>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〜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Noto Sans CJK SC"/>
        <family val="2"/>
      </rPr>
      <t xml:space="preserve">か月</t>
    </r>
  </si>
  <si>
    <r>
      <rPr>
        <b val="true"/>
        <sz val="10"/>
        <rFont val="Arial"/>
        <family val="0"/>
        <charset val="1"/>
      </rPr>
      <t xml:space="preserve">4</t>
    </r>
    <r>
      <rPr>
        <b val="true"/>
        <sz val="10"/>
        <rFont val="Noto Sans CJK SC"/>
        <family val="2"/>
      </rPr>
      <t xml:space="preserve">〜</t>
    </r>
    <r>
      <rPr>
        <b val="true"/>
        <sz val="10"/>
        <rFont val="Arial"/>
        <family val="0"/>
        <charset val="1"/>
      </rPr>
      <t xml:space="preserve">6</t>
    </r>
    <r>
      <rPr>
        <b val="true"/>
        <sz val="10"/>
        <rFont val="Noto Sans CJK SC"/>
        <family val="2"/>
      </rPr>
      <t xml:space="preserve">か月</t>
    </r>
  </si>
  <si>
    <r>
      <rPr>
        <b val="true"/>
        <sz val="10"/>
        <rFont val="Arial"/>
        <family val="0"/>
        <charset val="1"/>
      </rPr>
      <t xml:space="preserve">7</t>
    </r>
    <r>
      <rPr>
        <b val="true"/>
        <sz val="10"/>
        <rFont val="Noto Sans CJK SC"/>
        <family val="2"/>
      </rPr>
      <t xml:space="preserve">〜</t>
    </r>
    <r>
      <rPr>
        <b val="true"/>
        <sz val="10"/>
        <rFont val="Arial"/>
        <family val="0"/>
        <charset val="1"/>
      </rPr>
      <t xml:space="preserve">9</t>
    </r>
    <r>
      <rPr>
        <b val="true"/>
        <sz val="10"/>
        <rFont val="Noto Sans CJK SC"/>
        <family val="2"/>
      </rPr>
      <t xml:space="preserve">か月</t>
    </r>
  </si>
  <si>
    <r>
      <rPr>
        <b val="true"/>
        <sz val="10"/>
        <rFont val="Arial"/>
        <family val="0"/>
        <charset val="1"/>
      </rPr>
      <t xml:space="preserve">10</t>
    </r>
    <r>
      <rPr>
        <b val="true"/>
        <sz val="10"/>
        <rFont val="Noto Sans CJK SC"/>
        <family val="2"/>
      </rPr>
      <t xml:space="preserve">〜</t>
    </r>
    <r>
      <rPr>
        <b val="true"/>
        <sz val="10"/>
        <rFont val="Arial"/>
        <family val="0"/>
        <charset val="1"/>
      </rPr>
      <t xml:space="preserve">12</t>
    </r>
    <r>
      <rPr>
        <b val="true"/>
        <sz val="10"/>
        <rFont val="Noto Sans CJK SC"/>
        <family val="2"/>
      </rPr>
      <t xml:space="preserve">か月</t>
    </r>
  </si>
  <si>
    <r>
      <rPr>
        <b val="true"/>
        <sz val="11"/>
        <color rgb="FF1F3864"/>
        <rFont val="Noto Sans CJK SC"/>
        <family val="2"/>
      </rPr>
      <t xml:space="preserve">■ 期ごとの狙い（第</t>
    </r>
    <r>
      <rPr>
        <b val="true"/>
        <sz val="11"/>
        <color rgb="FF1F3864"/>
        <rFont val="Arial"/>
        <family val="0"/>
        <charset val="1"/>
      </rPr>
      <t xml:space="preserve">6</t>
    </r>
    <r>
      <rPr>
        <b val="true"/>
        <sz val="11"/>
        <color rgb="FF1F3864"/>
        <rFont val="Noto Sans CJK SC"/>
        <family val="2"/>
      </rPr>
      <t xml:space="preserve">回で説明する型）</t>
    </r>
  </si>
  <si>
    <r>
      <rPr>
        <sz val="10"/>
        <rFont val="Arial"/>
        <family val="0"/>
        <charset val="1"/>
      </rPr>
      <t xml:space="preserve">0</t>
    </r>
    <r>
      <rPr>
        <sz val="10"/>
        <rFont val="Noto Sans CJK SC"/>
        <family val="2"/>
      </rPr>
      <t xml:space="preserve">〜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か月：定着　いま動いているものを、毎日使う状態にする。増やさない</t>
    </r>
  </si>
  <si>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〜</t>
    </r>
    <r>
      <rPr>
        <sz val="10"/>
        <rFont val="Arial"/>
        <family val="0"/>
        <charset val="1"/>
      </rPr>
      <t xml:space="preserve">6</t>
    </r>
    <r>
      <rPr>
        <sz val="10"/>
        <rFont val="Noto Sans CJK SC"/>
        <family val="2"/>
      </rPr>
      <t xml:space="preserve">か月：展開　使う人と業務を増やす。渡す相手は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名ずつ</t>
    </r>
  </si>
  <si>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〜</t>
    </r>
    <r>
      <rPr>
        <sz val="10"/>
        <rFont val="Arial"/>
        <family val="0"/>
        <charset val="1"/>
      </rPr>
      <t xml:space="preserve">9</t>
    </r>
    <r>
      <rPr>
        <sz val="10"/>
        <rFont val="Noto Sans CJK SC"/>
        <family val="2"/>
      </rPr>
      <t xml:space="preserve">か月：接続　手作業の転記をなくす。止まったら気づく仕組みも入れる</t>
    </r>
  </si>
  <si>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〜</t>
    </r>
    <r>
      <rPr>
        <sz val="10"/>
        <rFont val="Arial"/>
        <family val="0"/>
        <charset val="1"/>
      </rPr>
      <t xml:space="preserve">12</t>
    </r>
    <r>
      <rPr>
        <sz val="10"/>
        <rFont val="Noto Sans CJK SC"/>
        <family val="2"/>
      </rPr>
      <t xml:space="preserve">か月：測定　品質と効果を数字にして、次の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年を決める</t>
    </r>
  </si>
  <si>
    <r>
      <rPr>
        <b val="true"/>
        <sz val="13"/>
        <color rgb="FFFFFFFF"/>
        <rFont val="Noto Sans CJK SC"/>
        <family val="2"/>
      </rPr>
      <t xml:space="preserve">⑨　不足資料リスト　（第</t>
    </r>
    <r>
      <rPr>
        <b val="true"/>
        <sz val="13"/>
        <color rgb="FFFFFFFF"/>
        <rFont val="Arial"/>
        <family val="0"/>
        <charset val="1"/>
      </rPr>
      <t xml:space="preserve">8</t>
    </r>
    <r>
      <rPr>
        <b val="true"/>
        <sz val="13"/>
        <color rgb="FFFFFFFF"/>
        <rFont val="Noto Sans CJK SC"/>
        <family val="2"/>
      </rPr>
      <t xml:space="preserve">回）</t>
    </r>
  </si>
  <si>
    <t xml:space="preserve">社内ナレッジ検索が答えられなかった質問から作ります。これは、資料が存在しないか、社長の頭の中にしかない知識の一覧です。そのまま事業承継の課題リストになります。</t>
  </si>
  <si>
    <t xml:space="preserve">答えられなかった質問</t>
  </si>
  <si>
    <t xml:space="preserve">必要な資料</t>
  </si>
  <si>
    <t xml:space="preserve">いまどこにあるか</t>
  </si>
  <si>
    <t xml:space="preserve">誰が作るか（実名）</t>
  </si>
  <si>
    <t xml:space="preserve">いつまでに</t>
  </si>
  <si>
    <t xml:space="preserve">外注先に出せる加工の範囲は？</t>
  </si>
  <si>
    <t xml:space="preserve">外注可否の判断基準</t>
  </si>
  <si>
    <t xml:space="preserve">社長の頭の中のみ</t>
  </si>
  <si>
    <t xml:space="preserve">工場長（社長の口述を書き起こす）</t>
  </si>
  <si>
    <t xml:space="preserve">来月末</t>
  </si>
  <si>
    <r>
      <rPr>
        <sz val="10"/>
        <color rgb="FFC00000"/>
        <rFont val="Noto Sans CJK SC"/>
        <family val="2"/>
      </rPr>
      <t xml:space="preserve">※ 右</t>
    </r>
    <r>
      <rPr>
        <sz val="10"/>
        <color rgb="FFC00000"/>
        <rFont val="Arial"/>
        <family val="0"/>
        <charset val="1"/>
      </rPr>
      <t xml:space="preserve">2</t>
    </r>
    <r>
      <rPr>
        <sz val="10"/>
        <color rgb="FFC00000"/>
        <rFont val="Noto Sans CJK SC"/>
        <family val="2"/>
      </rPr>
      <t xml:space="preserve">列（誰が・いつまでに）が空欄の項目は、永久に埋まりません。第</t>
    </r>
    <r>
      <rPr>
        <sz val="10"/>
        <color rgb="FFC00000"/>
        <rFont val="Arial"/>
        <family val="0"/>
        <charset val="1"/>
      </rPr>
      <t xml:space="preserve">11</t>
    </r>
    <r>
      <rPr>
        <sz val="10"/>
        <color rgb="FFC00000"/>
        <rFont val="Noto Sans CJK SC"/>
        <family val="2"/>
      </rPr>
      <t xml:space="preserve">回で担当を割り付けます。</t>
    </r>
  </si>
  <si>
    <r>
      <rPr>
        <b val="true"/>
        <sz val="13"/>
        <color rgb="FFFFFFFF"/>
        <rFont val="Noto Sans CJK SC"/>
        <family val="2"/>
      </rPr>
      <t xml:space="preserve">⑩　多工程タスク設計書　（第</t>
    </r>
    <r>
      <rPr>
        <b val="true"/>
        <sz val="13"/>
        <color rgb="FFFFFFFF"/>
        <rFont val="Arial"/>
        <family val="0"/>
        <charset val="1"/>
      </rPr>
      <t xml:space="preserve">9</t>
    </r>
    <r>
      <rPr>
        <b val="true"/>
        <sz val="13"/>
        <color rgb="FFFFFFFF"/>
        <rFont val="Noto Sans CJK SC"/>
        <family val="2"/>
      </rPr>
      <t xml:space="preserve">回）</t>
    </r>
  </si>
  <si>
    <t xml:space="preserve">人の確認は「回数」ではなく「位置」で効きます。最も上流に置いてください。最後にだけ置くと、そこまでに誤りが増幅しています。</t>
  </si>
  <si>
    <t xml:space="preserve">タスク名</t>
  </si>
  <si>
    <t xml:space="preserve">最終的に欲しいもの</t>
  </si>
  <si>
    <t xml:space="preserve">工程</t>
  </si>
  <si>
    <t xml:space="preserve">入力</t>
  </si>
  <si>
    <t xml:space="preserve">出力</t>
  </si>
  <si>
    <t xml:space="preserve">やらないこと</t>
  </si>
  <si>
    <t xml:space="preserve">人の確認（要／不要）と見るところ</t>
  </si>
  <si>
    <r>
      <rPr>
        <b val="true"/>
        <i val="true"/>
        <sz val="9"/>
        <color rgb="FF808080"/>
        <rFont val="Noto Sans CJK SC"/>
        <family val="2"/>
      </rPr>
      <t xml:space="preserve">工程</t>
    </r>
    <r>
      <rPr>
        <b val="true"/>
        <i val="true"/>
        <sz val="9"/>
        <color rgb="FF808080"/>
        <rFont val="Arial"/>
        <family val="0"/>
        <charset val="1"/>
      </rPr>
      <t xml:space="preserve">1</t>
    </r>
  </si>
  <si>
    <r>
      <rPr>
        <i val="true"/>
        <sz val="9"/>
        <color rgb="FF808080"/>
        <rFont val="Noto Sans CJK SC"/>
        <family val="2"/>
      </rPr>
      <t xml:space="preserve">類似案件を過去実績から</t>
    </r>
    <r>
      <rPr>
        <i val="true"/>
        <sz val="9"/>
        <color rgb="FF808080"/>
        <rFont val="Arial"/>
        <family val="0"/>
        <charset val="1"/>
      </rPr>
      <t xml:space="preserve">3</t>
    </r>
    <r>
      <rPr>
        <i val="true"/>
        <sz val="9"/>
        <color rgb="FF808080"/>
        <rFont val="Noto Sans CJK SC"/>
        <family val="2"/>
      </rPr>
      <t xml:space="preserve">件探す</t>
    </r>
  </si>
  <si>
    <t xml:space="preserve">案件条件</t>
  </si>
  <si>
    <r>
      <rPr>
        <i val="true"/>
        <sz val="9"/>
        <color rgb="FF808080"/>
        <rFont val="Noto Sans CJK SC"/>
        <family val="2"/>
      </rPr>
      <t xml:space="preserve">類似案件</t>
    </r>
    <r>
      <rPr>
        <i val="true"/>
        <sz val="9"/>
        <color rgb="FF808080"/>
        <rFont val="Arial"/>
        <family val="0"/>
        <charset val="1"/>
      </rPr>
      <t xml:space="preserve">3</t>
    </r>
    <r>
      <rPr>
        <i val="true"/>
        <sz val="9"/>
        <color rgb="FF808080"/>
        <rFont val="Noto Sans CJK SC"/>
        <family val="2"/>
      </rPr>
      <t xml:space="preserve">件</t>
    </r>
  </si>
  <si>
    <t xml:space="preserve">金額の算出</t>
  </si>
  <si>
    <t xml:space="preserve">要：社長が案件の妥当性を見る（← 最上流）</t>
  </si>
  <si>
    <r>
      <rPr>
        <b val="true"/>
        <sz val="10"/>
        <rFont val="Noto Sans CJK SC"/>
        <family val="2"/>
      </rPr>
      <t xml:space="preserve">工程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</si>
  <si>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工程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</si>
  <si>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工程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</si>
  <si>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工程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</si>
  <si>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工程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</si>
  <si>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工程</t>
    </r>
    <r>
      <rPr>
        <b val="true"/>
        <sz val="10"/>
        <rFont val="Arial"/>
        <family val="0"/>
        <charset val="1"/>
      </rPr>
      <t xml:space="preserve">6</t>
    </r>
  </si>
  <si>
    <t xml:space="preserve">壊れたときに気づく方法</t>
  </si>
  <si>
    <r>
      <rPr>
        <b val="true"/>
        <sz val="10"/>
        <color rgb="FFB04A2F"/>
        <rFont val="Noto Sans CJK SC"/>
        <family val="2"/>
      </rPr>
      <t xml:space="preserve">■ 人が必ず止める</t>
    </r>
    <r>
      <rPr>
        <b val="true"/>
        <sz val="10"/>
        <color rgb="FFB04A2F"/>
        <rFont val="Arial"/>
        <family val="0"/>
        <charset val="1"/>
      </rPr>
      <t xml:space="preserve">3</t>
    </r>
    <r>
      <rPr>
        <b val="true"/>
        <sz val="10"/>
        <color rgb="FFB04A2F"/>
        <rFont val="Noto Sans CJK SC"/>
        <family val="2"/>
      </rPr>
      <t xml:space="preserve">か所：① 金額が確定する前　② 社外に出る前　③ 取り消せない操作の前</t>
    </r>
  </si>
  <si>
    <r>
      <rPr>
        <b val="true"/>
        <sz val="13"/>
        <color rgb="FFFFFFFF"/>
        <rFont val="Noto Sans CJK SC"/>
        <family val="2"/>
      </rPr>
      <t xml:space="preserve">⑪　正解セット　（第</t>
    </r>
    <r>
      <rPr>
        <b val="true"/>
        <sz val="13"/>
        <color rgb="FFFFFFFF"/>
        <rFont val="Arial"/>
        <family val="0"/>
        <charset val="1"/>
      </rPr>
      <t xml:space="preserve">10</t>
    </r>
    <r>
      <rPr>
        <b val="true"/>
        <sz val="13"/>
        <color rgb="FFFFFFFF"/>
        <rFont val="Noto Sans CJK SC"/>
        <family val="2"/>
      </rPr>
      <t xml:space="preserve">回）</t>
    </r>
  </si>
  <si>
    <r>
      <rPr>
        <sz val="10"/>
        <color rgb="FFC00000"/>
        <rFont val="Noto Sans CJK SC"/>
        <family val="2"/>
      </rPr>
      <t xml:space="preserve">社内で実際に出た質問から</t>
    </r>
    <r>
      <rPr>
        <sz val="10"/>
        <color rgb="FFC00000"/>
        <rFont val="Arial"/>
        <family val="0"/>
        <charset val="1"/>
      </rPr>
      <t xml:space="preserve">10</t>
    </r>
    <r>
      <rPr>
        <sz val="10"/>
        <color rgb="FFC00000"/>
        <rFont val="Noto Sans CJK SC"/>
        <family val="2"/>
      </rPr>
      <t xml:space="preserve">件選びます。作文しないでください。</t>
    </r>
    <r>
      <rPr>
        <sz val="10"/>
        <color rgb="FFC00000"/>
        <rFont val="Arial"/>
        <family val="0"/>
        <charset val="1"/>
      </rPr>
      <t xml:space="preserve">3</t>
    </r>
    <r>
      <rPr>
        <sz val="10"/>
        <color rgb="FFC00000"/>
        <rFont val="Noto Sans CJK SC"/>
        <family val="2"/>
      </rPr>
      <t xml:space="preserve">列目（絶対に言ってはいけないこと）が最も重要です。内容が合っていても、ここに触れたら</t>
    </r>
    <r>
      <rPr>
        <sz val="10"/>
        <color rgb="FFC00000"/>
        <rFont val="Arial"/>
        <family val="0"/>
        <charset val="1"/>
      </rPr>
      <t xml:space="preserve">×</t>
    </r>
    <r>
      <rPr>
        <sz val="10"/>
        <color rgb="FFC00000"/>
        <rFont val="Noto Sans CJK SC"/>
        <family val="2"/>
      </rPr>
      <t xml:space="preserve">にします。</t>
    </r>
  </si>
  <si>
    <t xml:space="preserve">質問・入力</t>
  </si>
  <si>
    <t xml:space="preserve">期待する答えの要点</t>
  </si>
  <si>
    <t xml:space="preserve">絶対に言ってはいけないこと</t>
  </si>
  <si>
    <r>
      <rPr>
        <b val="true"/>
        <sz val="10"/>
        <color rgb="FFFFFFFF"/>
        <rFont val="Noto Sans CJK SC"/>
        <family val="2"/>
      </rPr>
      <t xml:space="preserve">判定（○△</t>
    </r>
    <r>
      <rPr>
        <b val="true"/>
        <sz val="10"/>
        <color rgb="FFFFFFFF"/>
        <rFont val="Arial"/>
        <family val="0"/>
        <charset val="1"/>
      </rPr>
      <t xml:space="preserve">×</t>
    </r>
    <r>
      <rPr>
        <b val="true"/>
        <sz val="10"/>
        <color rgb="FFFFFFFF"/>
        <rFont val="Noto Sans CJK SC"/>
        <family val="2"/>
      </rPr>
      <t xml:space="preserve">）</t>
    </r>
  </si>
  <si>
    <t xml:space="preserve">気づいたこと</t>
  </si>
  <si>
    <r>
      <rPr>
        <i val="true"/>
        <sz val="9"/>
        <color rgb="FF808080"/>
        <rFont val="Arial"/>
        <family val="0"/>
        <charset val="1"/>
      </rPr>
      <t xml:space="preserve">A</t>
    </r>
    <r>
      <rPr>
        <i val="true"/>
        <sz val="9"/>
        <color rgb="FF808080"/>
        <rFont val="Noto Sans CJK SC"/>
        <family val="2"/>
      </rPr>
      <t xml:space="preserve">社向け、板金加工</t>
    </r>
    <r>
      <rPr>
        <i val="true"/>
        <sz val="9"/>
        <color rgb="FF808080"/>
        <rFont val="Arial"/>
        <family val="0"/>
        <charset val="1"/>
      </rPr>
      <t xml:space="preserve">5</t>
    </r>
    <r>
      <rPr>
        <i val="true"/>
        <sz val="9"/>
        <color rgb="FF808080"/>
        <rFont val="Noto Sans CJK SC"/>
        <family val="2"/>
      </rPr>
      <t xml:space="preserve">点、納期</t>
    </r>
    <r>
      <rPr>
        <i val="true"/>
        <sz val="9"/>
        <color rgb="FF808080"/>
        <rFont val="Arial"/>
        <family val="0"/>
        <charset val="1"/>
      </rPr>
      <t xml:space="preserve">2</t>
    </r>
    <r>
      <rPr>
        <i val="true"/>
        <sz val="9"/>
        <color rgb="FF808080"/>
        <rFont val="Noto Sans CJK SC"/>
        <family val="2"/>
      </rPr>
      <t xml:space="preserve">週間の概算は？</t>
    </r>
  </si>
  <si>
    <r>
      <rPr>
        <i val="true"/>
        <sz val="9"/>
        <color rgb="FF808080"/>
        <rFont val="Noto Sans CJK SC"/>
        <family val="2"/>
      </rPr>
      <t xml:space="preserve">類似案件を</t>
    </r>
    <r>
      <rPr>
        <i val="true"/>
        <sz val="9"/>
        <color rgb="FF808080"/>
        <rFont val="Arial"/>
        <family val="0"/>
        <charset val="1"/>
      </rPr>
      <t xml:space="preserve">3</t>
    </r>
    <r>
      <rPr>
        <i val="true"/>
        <sz val="9"/>
        <color rgb="FF808080"/>
        <rFont val="Noto Sans CJK SC"/>
        <family val="2"/>
      </rPr>
      <t xml:space="preserve">件提示／概算を幅で提示／納期の制約に言及</t>
    </r>
  </si>
  <si>
    <t xml:space="preserve">確定金額としての断言／納期の約束／過去の顧客名</t>
  </si>
  <si>
    <t xml:space="preserve">○</t>
  </si>
  <si>
    <r>
      <rPr>
        <i val="true"/>
        <sz val="9"/>
        <color rgb="FF808080"/>
        <rFont val="Noto Sans CJK SC"/>
        <family val="2"/>
      </rPr>
      <t xml:space="preserve">根拠の案件が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Noto Sans CJK SC"/>
        <family val="2"/>
      </rPr>
      <t xml:space="preserve">件古かった</t>
    </r>
  </si>
  <si>
    <t xml:space="preserve">今月の点数（○の件数）</t>
  </si>
  <si>
    <r>
      <rPr>
        <sz val="10"/>
        <rFont val="Arial"/>
        <family val="0"/>
        <charset val="1"/>
      </rPr>
      <t xml:space="preserve">×</t>
    </r>
    <r>
      <rPr>
        <sz val="10"/>
        <rFont val="Noto Sans CJK SC"/>
        <family val="2"/>
      </rPr>
      <t xml:space="preserve">の件数（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件でもあれば原因を潰す）</t>
    </r>
  </si>
  <si>
    <r>
      <rPr>
        <sz val="10"/>
        <color rgb="FFB04A2F"/>
        <rFont val="Noto Sans CJK SC"/>
        <family val="2"/>
      </rPr>
      <t xml:space="preserve">■ ○＝要点を満たし禁止事項なし／△＝要点は不足だが無害（正しい振る舞い。</t>
    </r>
    <r>
      <rPr>
        <sz val="10"/>
        <color rgb="FFB04A2F"/>
        <rFont val="Arial"/>
        <family val="0"/>
        <charset val="1"/>
      </rPr>
      <t xml:space="preserve">×</t>
    </r>
    <r>
      <rPr>
        <sz val="10"/>
        <color rgb="FFB04A2F"/>
        <rFont val="Noto Sans CJK SC"/>
        <family val="2"/>
      </rPr>
      <t xml:space="preserve">ではない）／</t>
    </r>
    <r>
      <rPr>
        <sz val="10"/>
        <color rgb="FFB04A2F"/>
        <rFont val="Arial"/>
        <family val="0"/>
        <charset val="1"/>
      </rPr>
      <t xml:space="preserve">×</t>
    </r>
    <r>
      <rPr>
        <sz val="10"/>
        <color rgb="FFB04A2F"/>
        <rFont val="Noto Sans CJK SC"/>
        <family val="2"/>
      </rPr>
      <t xml:space="preserve">＝禁止事項に触れた、または誤り</t>
    </r>
  </si>
  <si>
    <r>
      <rPr>
        <sz val="10"/>
        <rFont val="Noto Sans CJK SC"/>
        <family val="2"/>
      </rPr>
      <t xml:space="preserve">■ ○が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件以上で実務に出せます。合格ラインは業務によって調整してください。</t>
    </r>
  </si>
  <si>
    <r>
      <rPr>
        <b val="true"/>
        <sz val="13"/>
        <color rgb="FFFFFFFF"/>
        <rFont val="Noto Sans CJK SC"/>
        <family val="2"/>
      </rPr>
      <t xml:space="preserve">⑪　月次チェック記録　（第</t>
    </r>
    <r>
      <rPr>
        <b val="true"/>
        <sz val="13"/>
        <color rgb="FFFFFFFF"/>
        <rFont val="Arial"/>
        <family val="0"/>
        <charset val="1"/>
      </rPr>
      <t xml:space="preserve">10</t>
    </r>
    <r>
      <rPr>
        <b val="true"/>
        <sz val="13"/>
        <color rgb="FFFFFFFF"/>
        <rFont val="Noto Sans CJK SC"/>
        <family val="2"/>
      </rPr>
      <t xml:space="preserve">回）</t>
    </r>
  </si>
  <si>
    <r>
      <rPr>
        <sz val="10"/>
        <color rgb="FFC00000"/>
        <rFont val="Noto Sans CJK SC"/>
        <family val="2"/>
      </rPr>
      <t xml:space="preserve">毎月、同じ</t>
    </r>
    <r>
      <rPr>
        <sz val="10"/>
        <color rgb="FFC00000"/>
        <rFont val="Arial"/>
        <family val="0"/>
        <charset val="1"/>
      </rPr>
      <t xml:space="preserve">10</t>
    </r>
    <r>
      <rPr>
        <sz val="10"/>
        <color rgb="FFC00000"/>
        <rFont val="Noto Sans CJK SC"/>
        <family val="2"/>
      </rPr>
      <t xml:space="preserve">件を流して記録します。所要</t>
    </r>
    <r>
      <rPr>
        <sz val="10"/>
        <color rgb="FFC00000"/>
        <rFont val="Arial"/>
        <family val="0"/>
        <charset val="1"/>
      </rPr>
      <t xml:space="preserve">20</t>
    </r>
    <r>
      <rPr>
        <sz val="10"/>
        <color rgb="FFC00000"/>
        <rFont val="Noto Sans CJK SC"/>
        <family val="2"/>
      </rPr>
      <t xml:space="preserve">分。先月より○が</t>
    </r>
    <r>
      <rPr>
        <sz val="10"/>
        <color rgb="FFC00000"/>
        <rFont val="Arial"/>
        <family val="0"/>
        <charset val="1"/>
      </rPr>
      <t xml:space="preserve">2</t>
    </r>
    <r>
      <rPr>
        <sz val="10"/>
        <color rgb="FFC00000"/>
        <rFont val="Noto Sans CJK SC"/>
        <family val="2"/>
      </rPr>
      <t xml:space="preserve">件以上減ったら、社長に報告してください。</t>
    </r>
  </si>
  <si>
    <t xml:space="preserve">実施日</t>
  </si>
  <si>
    <t xml:space="preserve">担当者</t>
  </si>
  <si>
    <t xml:space="preserve">○の件数</t>
  </si>
  <si>
    <t xml:space="preserve">△の件数</t>
  </si>
  <si>
    <r>
      <rPr>
        <b val="true"/>
        <sz val="10"/>
        <color rgb="FFFFFFFF"/>
        <rFont val="Arial"/>
        <family val="0"/>
        <charset val="1"/>
      </rPr>
      <t xml:space="preserve">×</t>
    </r>
    <r>
      <rPr>
        <b val="true"/>
        <sz val="10"/>
        <color rgb="FFFFFFFF"/>
        <rFont val="Noto Sans CJK SC"/>
        <family val="2"/>
      </rPr>
      <t xml:space="preserve">の件数</t>
    </r>
  </si>
  <si>
    <t xml:space="preserve">前月差</t>
  </si>
  <si>
    <t xml:space="preserve">気づいたこと・対処</t>
  </si>
  <si>
    <t xml:space="preserve">2026/10/15</t>
  </si>
  <si>
    <t xml:space="preserve">事務 田中</t>
  </si>
  <si>
    <t xml:space="preserve">—</t>
  </si>
  <si>
    <t xml:space="preserve">根拠の案件が古い。資料を更新した</t>
  </si>
  <si>
    <r>
      <rPr>
        <b val="true"/>
        <sz val="10"/>
        <color rgb="FFB04A2F"/>
        <rFont val="Noto Sans CJK SC"/>
        <family val="2"/>
      </rPr>
      <t xml:space="preserve">■ 点数が下がったら、変わりうるのは</t>
    </r>
    <r>
      <rPr>
        <b val="true"/>
        <sz val="10"/>
        <color rgb="FFB04A2F"/>
        <rFont val="Arial"/>
        <family val="0"/>
        <charset val="1"/>
      </rPr>
      <t xml:space="preserve">3</t>
    </r>
    <r>
      <rPr>
        <b val="true"/>
        <sz val="10"/>
        <color rgb="FFB04A2F"/>
        <rFont val="Noto Sans CJK SC"/>
        <family val="2"/>
      </rPr>
      <t xml:space="preserve">つ。この順で確認します：① モデルの更新　② 資料の陳腐化　③ 使い方の拡大</t>
    </r>
  </si>
  <si>
    <r>
      <rPr>
        <b val="true"/>
        <sz val="13"/>
        <color rgb="FFFFFFFF"/>
        <rFont val="Noto Sans CJK SC"/>
        <family val="2"/>
      </rPr>
      <t xml:space="preserve">⑫　権限・費用管理表　（第</t>
    </r>
    <r>
      <rPr>
        <b val="true"/>
        <sz val="13"/>
        <color rgb="FFFFFFFF"/>
        <rFont val="Arial"/>
        <family val="0"/>
        <charset val="1"/>
      </rPr>
      <t xml:space="preserve">11</t>
    </r>
    <r>
      <rPr>
        <b val="true"/>
        <sz val="13"/>
        <color rgb="FFFFFFFF"/>
        <rFont val="Noto Sans CJK SC"/>
        <family val="2"/>
      </rPr>
      <t xml:space="preserve">回）</t>
    </r>
  </si>
  <si>
    <t xml:space="preserve">個人名義の契約が残っていないかを必ず洗ってください。社長個人のカードで契約したまま社員が使っている状態は珍しくありません。</t>
  </si>
  <si>
    <t xml:space="preserve">サービス名</t>
  </si>
  <si>
    <t xml:space="preserve">契約名義</t>
  </si>
  <si>
    <t xml:space="preserve">月額（円）</t>
  </si>
  <si>
    <t xml:space="preserve">利用者（人数）</t>
  </si>
  <si>
    <t xml:space="preserve">管理者</t>
  </si>
  <si>
    <t xml:space="preserve">退職時の手順</t>
  </si>
  <si>
    <t xml:space="preserve">見直し月</t>
  </si>
  <si>
    <t xml:space="preserve">ChatGPT Business</t>
  </si>
  <si>
    <t xml:space="preserve">株式会社◯◯（法人）</t>
  </si>
  <si>
    <t xml:space="preserve">社長</t>
  </si>
  <si>
    <t xml:space="preserve">管理コンソールから席を削除</t>
  </si>
  <si>
    <r>
      <rPr>
        <i val="true"/>
        <sz val="9"/>
        <color rgb="FF808080"/>
        <rFont val="Noto Sans CJK SC"/>
        <family val="2"/>
      </rPr>
      <t xml:space="preserve">毎年</t>
    </r>
    <r>
      <rPr>
        <i val="true"/>
        <sz val="9"/>
        <color rgb="FF808080"/>
        <rFont val="Arial"/>
        <family val="0"/>
        <charset val="1"/>
      </rPr>
      <t xml:space="preserve">4</t>
    </r>
    <r>
      <rPr>
        <i val="true"/>
        <sz val="9"/>
        <color rgb="FF808080"/>
        <rFont val="Noto Sans CJK SC"/>
        <family val="2"/>
      </rPr>
      <t xml:space="preserve">月</t>
    </r>
  </si>
  <si>
    <t xml:space="preserve">月額合計</t>
  </si>
  <si>
    <t xml:space="preserve">年額換算</t>
  </si>
  <si>
    <t xml:space="preserve">■ 個人名義の契約が残っている場合、この回が法人契約への移行を検討する場所です。</t>
  </si>
  <si>
    <r>
      <rPr>
        <b val="true"/>
        <sz val="13"/>
        <color rgb="FFFFFFFF"/>
        <rFont val="Noto Sans CJK SC"/>
        <family val="2"/>
      </rPr>
      <t xml:space="preserve">⑫　効果測定シート　（第</t>
    </r>
    <r>
      <rPr>
        <b val="true"/>
        <sz val="13"/>
        <color rgb="FFFFFFFF"/>
        <rFont val="Arial"/>
        <family val="0"/>
        <charset val="1"/>
      </rPr>
      <t xml:space="preserve">11</t>
    </r>
    <r>
      <rPr>
        <b val="true"/>
        <sz val="13"/>
        <color rgb="FFFFFFFF"/>
        <rFont val="Noto Sans CJK SC"/>
        <family val="2"/>
      </rPr>
      <t xml:space="preserve">回）</t>
    </r>
  </si>
  <si>
    <r>
      <rPr>
        <sz val="10"/>
        <color rgb="FFC00000"/>
        <rFont val="Noto Sans CJK SC"/>
        <family val="2"/>
      </rPr>
      <t xml:space="preserve">金額だけで語らないでください。中小企業の</t>
    </r>
    <r>
      <rPr>
        <sz val="10"/>
        <color rgb="FFC00000"/>
        <rFont val="Arial"/>
        <family val="0"/>
        <charset val="1"/>
      </rPr>
      <t xml:space="preserve">AI</t>
    </r>
    <r>
      <rPr>
        <sz val="10"/>
        <color rgb="FFC00000"/>
        <rFont val="Noto Sans CJK SC"/>
        <family val="2"/>
      </rPr>
      <t xml:space="preserve">効果は効率化に出ますが、実際の価値は品質（やり直しの減少）と範囲（使える人と業務の広がり）に出ることが多くあります。</t>
    </r>
  </si>
  <si>
    <t xml:space="preserve">指標</t>
  </si>
  <si>
    <t xml:space="preserve">測り方</t>
  </si>
  <si>
    <t xml:space="preserve">現在</t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</si>
  <si>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Noto Sans CJK SC"/>
        <family val="2"/>
      </rPr>
      <t xml:space="preserve">か月後の目標</t>
    </r>
  </si>
  <si>
    <r>
      <rPr>
        <b val="true"/>
        <sz val="10"/>
        <color rgb="FFFFFFFF"/>
        <rFont val="Arial"/>
        <family val="0"/>
        <charset val="1"/>
      </rPr>
      <t xml:space="preserve">3</t>
    </r>
    <r>
      <rPr>
        <b val="true"/>
        <sz val="10"/>
        <color rgb="FFFFFFFF"/>
        <rFont val="Noto Sans CJK SC"/>
        <family val="2"/>
      </rPr>
      <t xml:space="preserve">か月後の実測</t>
    </r>
  </si>
  <si>
    <t xml:space="preserve">誰が測るか</t>
  </si>
  <si>
    <t xml:space="preserve">時間</t>
  </si>
  <si>
    <t xml:space="preserve">対象業務の所要時間（月・時間）</t>
  </si>
  <si>
    <t xml:space="preserve">品質</t>
  </si>
  <si>
    <t xml:space="preserve">やり直し件数（月・件）／正解セットの○の件数</t>
  </si>
  <si>
    <t xml:space="preserve">範囲</t>
  </si>
  <si>
    <t xml:space="preserve">使っている人数（人）／業務数</t>
  </si>
  <si>
    <t xml:space="preserve">金額</t>
  </si>
  <si>
    <r>
      <rPr>
        <sz val="10"/>
        <rFont val="Noto Sans CJK SC"/>
        <family val="2"/>
      </rPr>
      <t xml:space="preserve">削減時間 </t>
    </r>
    <r>
      <rPr>
        <sz val="10"/>
        <rFont val="Arial"/>
        <family val="0"/>
        <charset val="1"/>
      </rPr>
      <t xml:space="preserve">× </t>
    </r>
    <r>
      <rPr>
        <sz val="10"/>
        <rFont val="Noto Sans CJK SC"/>
        <family val="2"/>
      </rPr>
      <t xml:space="preserve">時間単価 − 月額費用（円）</t>
    </r>
  </si>
  <si>
    <r>
      <rPr>
        <b val="true"/>
        <sz val="10"/>
        <rFont val="Noto Sans CJK SC"/>
        <family val="2"/>
      </rPr>
      <t xml:space="preserve">時間単価（円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Noto Sans CJK SC"/>
        <family val="2"/>
      </rPr>
      <t xml:space="preserve">時）</t>
    </r>
  </si>
  <si>
    <t xml:space="preserve">月額費用（円）</t>
  </si>
  <si>
    <t xml:space="preserve">金額効果（月・円）</t>
  </si>
  <si>
    <t xml:space="preserve">年額換算（円）</t>
  </si>
  <si>
    <r>
      <rPr>
        <sz val="10"/>
        <color rgb="FFC00000"/>
        <rFont val="Noto Sans CJK SC"/>
        <family val="2"/>
      </rPr>
      <t xml:space="preserve">※ 金額効果は、</t>
    </r>
    <r>
      <rPr>
        <sz val="10"/>
        <color rgb="FFC00000"/>
        <rFont val="Arial"/>
        <family val="0"/>
        <charset val="1"/>
      </rPr>
      <t xml:space="preserve">3</t>
    </r>
    <r>
      <rPr>
        <sz val="10"/>
        <color rgb="FFC00000"/>
        <rFont val="Noto Sans CJK SC"/>
        <family val="2"/>
      </rPr>
      <t xml:space="preserve">か月後の実測（</t>
    </r>
    <r>
      <rPr>
        <sz val="10"/>
        <color rgb="FFC00000"/>
        <rFont val="Arial"/>
        <family val="0"/>
        <charset val="1"/>
      </rPr>
      <t xml:space="preserve">F</t>
    </r>
    <r>
      <rPr>
        <sz val="10"/>
        <color rgb="FFC00000"/>
        <rFont val="Noto Sans CJK SC"/>
        <family val="2"/>
      </rPr>
      <t xml:space="preserve">列）が入ると自動計算されます。単価は自社の人件費で置き換えてください。</t>
    </r>
  </si>
  <si>
    <r>
      <rPr>
        <b val="true"/>
        <sz val="13"/>
        <color rgb="FFFFFFFF"/>
        <rFont val="Noto Sans CJK SC"/>
        <family val="2"/>
      </rPr>
      <t xml:space="preserve">講師用　習得チェックリスト　（全</t>
    </r>
    <r>
      <rPr>
        <b val="true"/>
        <sz val="13"/>
        <color rgb="FFFFFFFF"/>
        <rFont val="Arial"/>
        <family val="0"/>
        <charset val="1"/>
      </rPr>
      <t xml:space="preserve">12</t>
    </r>
    <r>
      <rPr>
        <b val="true"/>
        <sz val="13"/>
        <color rgb="FFFFFFFF"/>
        <rFont val="Noto Sans CJK SC"/>
        <family val="2"/>
      </rPr>
      <t xml:space="preserve">回）</t>
    </r>
  </si>
  <si>
    <r>
      <rPr>
        <sz val="10"/>
        <color rgb="FFC00000"/>
        <rFont val="Noto Sans CJK SC"/>
        <family val="2"/>
      </rPr>
      <t xml:space="preserve">毎回の最後に、このシートを画面共有して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Noto Sans CJK SC"/>
        <family val="2"/>
      </rPr>
      <t xml:space="preserve">行埋めます。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Noto Sans CJK SC"/>
        <family val="2"/>
      </rPr>
      <t xml:space="preserve">対</t>
    </r>
    <r>
      <rPr>
        <sz val="10"/>
        <color rgb="FFC00000"/>
        <rFont val="Arial"/>
        <family val="0"/>
        <charset val="1"/>
      </rPr>
      <t xml:space="preserve">1</t>
    </r>
    <r>
      <rPr>
        <sz val="10"/>
        <color rgb="FFC00000"/>
        <rFont val="Noto Sans CJK SC"/>
        <family val="2"/>
      </rPr>
      <t xml:space="preserve">では「自分が今どこにいるか」が分からなくなるため、進捗の可視化が集合研修の相互刺激の代わりになります。</t>
    </r>
  </si>
  <si>
    <t xml:space="preserve">回</t>
  </si>
  <si>
    <t xml:space="preserve">できるようになること</t>
  </si>
  <si>
    <t xml:space="preserve">判定基準</t>
  </si>
  <si>
    <t xml:space="preserve">確認</t>
  </si>
  <si>
    <t xml:space="preserve">済</t>
  </si>
  <si>
    <t xml:space="preserve">メモ</t>
  </si>
  <si>
    <r>
      <rPr>
        <sz val="10"/>
        <rFont val="Noto Sans CJK SC"/>
        <family val="2"/>
      </rPr>
      <t xml:space="preserve">自社の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化候補を説明できる</t>
    </r>
  </si>
  <si>
    <r>
      <rPr>
        <sz val="10"/>
        <rFont val="Noto Sans CJK SC"/>
        <family val="2"/>
      </rPr>
      <t xml:space="preserve">上位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業務を紙に書けた</t>
    </r>
  </si>
  <si>
    <t xml:space="preserve">当日</t>
  </si>
  <si>
    <t xml:space="preserve">指示を型で書ける／蓄積できる</t>
  </si>
  <si>
    <r>
      <rPr>
        <sz val="10"/>
        <rFont val="Noto Sans CJK SC"/>
        <family val="2"/>
      </rPr>
      <t xml:space="preserve">プロンプト集</t>
    </r>
    <r>
      <rPr>
        <sz val="10"/>
        <rFont val="Arial"/>
        <family val="0"/>
        <charset val="1"/>
      </rPr>
      <t xml:space="preserve">5</t>
    </r>
    <r>
      <rPr>
        <sz val="10"/>
        <rFont val="Noto Sans CJK SC"/>
        <family val="2"/>
      </rPr>
      <t xml:space="preserve">本・プロジェクト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つ</t>
    </r>
  </si>
  <si>
    <t xml:space="preserve">他人が使えるテンプレを作れる</t>
  </si>
  <si>
    <r>
      <rPr>
        <sz val="10"/>
        <rFont val="Noto Sans CJK SC"/>
        <family val="2"/>
      </rPr>
      <t xml:space="preserve">テンプレ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種（当日）・社員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名が使用</t>
    </r>
  </si>
  <si>
    <t xml:space="preserve">次回冒頭</t>
  </si>
  <si>
    <t xml:space="preserve">数字を読ませて示唆を引き出せる</t>
  </si>
  <si>
    <r>
      <rPr>
        <sz val="10"/>
        <rFont val="Noto Sans CJK SC"/>
        <family val="2"/>
      </rPr>
      <t xml:space="preserve">雛形の完成（当日）・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回動いた</t>
    </r>
  </si>
  <si>
    <r>
      <rPr>
        <sz val="10"/>
        <rFont val="Noto Sans CJK SC"/>
        <family val="2"/>
      </rPr>
      <t xml:space="preserve">自社専用</t>
    </r>
    <r>
      <rPr>
        <sz val="10"/>
        <rFont val="Arial"/>
        <family val="0"/>
        <charset val="1"/>
      </rPr>
      <t xml:space="preserve">AI</t>
    </r>
    <r>
      <rPr>
        <sz val="10"/>
        <rFont val="Noto Sans CJK SC"/>
        <family val="2"/>
      </rPr>
      <t xml:space="preserve">を作れる</t>
    </r>
  </si>
  <si>
    <r>
      <rPr>
        <sz val="10"/>
        <rFont val="Noto Sans CJK SC"/>
        <family val="2"/>
      </rPr>
      <t xml:space="preserve">専用</t>
    </r>
    <r>
      <rPr>
        <sz val="10"/>
        <rFont val="Arial"/>
        <family val="0"/>
        <charset val="1"/>
      </rPr>
      <t xml:space="preserve">AI1</t>
    </r>
    <r>
      <rPr>
        <sz val="10"/>
        <rFont val="Noto Sans CJK SC"/>
        <family val="2"/>
      </rPr>
      <t xml:space="preserve">つ稼働・ルール</t>
    </r>
    <r>
      <rPr>
        <sz val="10"/>
        <rFont val="Arial"/>
        <family val="0"/>
        <charset val="1"/>
      </rPr>
      <t xml:space="preserve">v1</t>
    </r>
    <r>
      <rPr>
        <sz val="10"/>
        <rFont val="Noto Sans CJK SC"/>
        <family val="2"/>
      </rPr>
      <t xml:space="preserve">完成（当日）・推進候補者が触った</t>
    </r>
  </si>
  <si>
    <t xml:space="preserve">社内に説明できる</t>
  </si>
  <si>
    <r>
      <rPr>
        <sz val="10"/>
        <rFont val="Noto Sans CJK SC"/>
        <family val="2"/>
      </rPr>
      <t xml:space="preserve">社員</t>
    </r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名以上の前で発表完了</t>
    </r>
  </si>
  <si>
    <t xml:space="preserve">手作業のつなぎ目を消せる</t>
  </si>
  <si>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本組めた（当日）・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週間動いた</t>
    </r>
  </si>
  <si>
    <t xml:space="preserve">社内知識を検索させられる</t>
  </si>
  <si>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問中○が</t>
    </r>
    <r>
      <rPr>
        <sz val="10"/>
        <rFont val="Arial"/>
        <family val="0"/>
        <charset val="1"/>
      </rPr>
      <t xml:space="preserve">7</t>
    </r>
    <r>
      <rPr>
        <sz val="10"/>
        <rFont val="Noto Sans CJK SC"/>
        <family val="2"/>
      </rPr>
      <t xml:space="preserve">件以上</t>
    </r>
  </si>
  <si>
    <t xml:space="preserve">多工程を設計できる</t>
  </si>
  <si>
    <r>
      <rPr>
        <sz val="10"/>
        <rFont val="Noto Sans CJK SC"/>
        <family val="2"/>
      </rPr>
      <t xml:space="preserve">設計書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本・確認ポイント記載済み</t>
    </r>
  </si>
  <si>
    <t xml:space="preserve">品質を数字で言える</t>
  </si>
  <si>
    <r>
      <rPr>
        <sz val="10"/>
        <rFont val="Noto Sans CJK SC"/>
        <family val="2"/>
      </rPr>
      <t xml:space="preserve">正解セット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件・初回採点完了</t>
    </r>
  </si>
  <si>
    <t xml:space="preserve">体制に載せられる</t>
  </si>
  <si>
    <t xml:space="preserve">体制図・費用表・測定シート完成</t>
  </si>
  <si>
    <t xml:space="preserve">事業計画に位置づけられる</t>
  </si>
  <si>
    <r>
      <rPr>
        <sz val="10"/>
        <rFont val="Arial"/>
        <family val="0"/>
        <charset val="1"/>
      </rPr>
      <t xml:space="preserve">3</t>
    </r>
    <r>
      <rPr>
        <sz val="10"/>
        <rFont val="Noto Sans CJK SC"/>
        <family val="2"/>
      </rPr>
      <t xml:space="preserve">年構想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枚・改訂ロードマップ</t>
    </r>
  </si>
  <si>
    <r>
      <rPr>
        <sz val="10"/>
        <color rgb="FFB04A2F"/>
        <rFont val="Noto Sans CJK SC"/>
        <family val="2"/>
      </rPr>
      <t xml:space="preserve">■ 「確認」が次回冒頭の行は、その回の最後には埋まりません。宿題の実行を次回の冒頭</t>
    </r>
    <r>
      <rPr>
        <sz val="10"/>
        <color rgb="FFB04A2F"/>
        <rFont val="Arial"/>
        <family val="0"/>
        <charset val="1"/>
      </rPr>
      <t xml:space="preserve">15</t>
    </r>
    <r>
      <rPr>
        <sz val="10"/>
        <color rgb="FFB04A2F"/>
        <rFont val="Noto Sans CJK SC"/>
        <family val="2"/>
      </rPr>
      <t xml:space="preserve">分で確認してから埋めます。</t>
    </r>
  </si>
  <si>
    <r>
      <rPr>
        <sz val="10"/>
        <rFont val="Noto Sans CJK SC"/>
        <family val="2"/>
      </rPr>
      <t xml:space="preserve">■ 宿題の未実行が</t>
    </r>
    <r>
      <rPr>
        <sz val="10"/>
        <rFont val="Arial"/>
        <family val="0"/>
        <charset val="1"/>
      </rPr>
      <t xml:space="preserve">2</t>
    </r>
    <r>
      <rPr>
        <sz val="10"/>
        <rFont val="Noto Sans CJK SC"/>
        <family val="2"/>
      </rPr>
      <t xml:space="preserve">回続いたら、宿題の設計が悪いということです。責める前に、</t>
    </r>
    <r>
      <rPr>
        <sz val="10"/>
        <rFont val="Arial"/>
        <family val="0"/>
        <charset val="1"/>
      </rPr>
      <t xml:space="preserve">15</t>
    </r>
    <r>
      <rPr>
        <sz val="10"/>
        <rFont val="Noto Sans CJK SC"/>
        <family val="2"/>
      </rPr>
      <t xml:space="preserve">分で終わる大きさに削り直してください。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</si>
</sst>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0.0&quot;時間&quot;"/>
    <numFmt numFmtId="167" formatCode="General"/>
    <numFmt numFmtId="168" formatCode="#,##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Noto Sans CJK SC"/>
      <family val="2"/>
    </font>
    <font>
      <b val="true"/>
      <sz val="13"/>
      <color rgb="FFFFFFFF"/>
      <name val="Arial"/>
      <family val="0"/>
      <charset val="1"/>
    </font>
    <font>
      <b val="true"/>
      <sz val="11"/>
      <color rgb="FF1F3864"/>
      <name val="Noto Sans CJK SC"/>
      <family val="2"/>
    </font>
    <font>
      <sz val="10"/>
      <name val="Noto Sans CJK SC"/>
      <family val="2"/>
    </font>
    <font>
      <sz val="10"/>
      <name val="Arial"/>
      <family val="0"/>
      <charset val="1"/>
    </font>
    <font>
      <b val="true"/>
      <sz val="10"/>
      <name val="Noto Sans CJK SC"/>
      <family val="2"/>
    </font>
    <font>
      <b val="true"/>
      <sz val="10"/>
      <name val="Arial"/>
      <family val="0"/>
      <charset val="1"/>
    </font>
    <font>
      <sz val="10"/>
      <color rgb="FFC00000"/>
      <name val="Arial"/>
      <family val="0"/>
      <charset val="1"/>
    </font>
    <font>
      <sz val="10"/>
      <color rgb="FFC00000"/>
      <name val="Noto Sans CJK SC"/>
      <family val="2"/>
    </font>
    <font>
      <b val="true"/>
      <sz val="10"/>
      <color rgb="FFFFFFFF"/>
      <name val="Noto Sans CJK SC"/>
      <family val="2"/>
    </font>
    <font>
      <b val="true"/>
      <sz val="10"/>
      <color rgb="FFFFFFFF"/>
      <name val="Arial"/>
      <family val="0"/>
      <charset val="1"/>
    </font>
    <font>
      <b val="true"/>
      <i val="true"/>
      <sz val="9"/>
      <color rgb="FF808080"/>
      <name val="Noto Sans CJK SC"/>
      <family val="2"/>
    </font>
    <font>
      <i val="true"/>
      <sz val="9"/>
      <color rgb="FF808080"/>
      <name val="Noto Sans CJK SC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Noto Sans CJK SC"/>
      <family val="2"/>
    </font>
    <font>
      <b val="true"/>
      <sz val="11"/>
      <color rgb="FF1F3864"/>
      <name val="Arial"/>
      <family val="0"/>
      <charset val="1"/>
    </font>
    <font>
      <b val="true"/>
      <sz val="11"/>
      <color rgb="FFB04A2F"/>
      <name val="Noto Sans CJK SC"/>
      <family val="2"/>
    </font>
    <font>
      <b val="true"/>
      <sz val="10"/>
      <color rgb="FF1F3864"/>
      <name val="Noto Sans CJK SC"/>
      <family val="2"/>
    </font>
    <font>
      <b val="true"/>
      <sz val="10"/>
      <color rgb="FFB04A2F"/>
      <name val="Arial"/>
      <family val="0"/>
      <charset val="1"/>
    </font>
    <font>
      <b val="true"/>
      <i val="true"/>
      <sz val="9"/>
      <color rgb="FF808080"/>
      <name val="Arial"/>
      <family val="0"/>
      <charset val="1"/>
    </font>
    <font>
      <b val="true"/>
      <sz val="10"/>
      <color rgb="FFB04A2F"/>
      <name val="Noto Sans CJK SC"/>
      <family val="2"/>
    </font>
    <font>
      <b val="true"/>
      <sz val="12"/>
      <color rgb="FF1F3864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sz val="10"/>
      <color rgb="FFB04A2F"/>
      <name val="Noto Sans CJK SC"/>
      <family val="2"/>
    </font>
    <font>
      <sz val="10"/>
      <color rgb="FFB04A2F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  <fill>
      <patternFill patternType="solid">
        <fgColor rgb="FFD9E2F3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1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5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7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8" fontId="1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5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2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B04A2F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2"/>
    <col collapsed="false" customWidth="true" hidden="false" outlineLevel="0" max="4" min="3" style="0" width="30"/>
    <col collapsed="false" customWidth="true" hidden="false" outlineLevel="0" max="6" min="5" style="0" width="20"/>
  </cols>
  <sheetData>
    <row r="1" customFormat="false" ht="25.5" hidden="false" customHeight="true" outlineLevel="0" collapsed="false">
      <c r="A1" s="1" t="s">
        <v>0</v>
      </c>
      <c r="B1" s="1"/>
      <c r="C1" s="1"/>
      <c r="D1" s="1"/>
      <c r="E1" s="1"/>
      <c r="F1" s="1"/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  <c r="C4" s="3"/>
      <c r="D4" s="3"/>
      <c r="E4" s="3"/>
      <c r="F4" s="3"/>
    </row>
    <row r="5" customFormat="false" ht="15" hidden="false" customHeight="false" outlineLevel="0" collapsed="false">
      <c r="B5" s="3" t="s">
        <v>3</v>
      </c>
      <c r="C5" s="3"/>
      <c r="D5" s="3"/>
      <c r="E5" s="3"/>
      <c r="F5" s="3"/>
    </row>
    <row r="7" customFormat="false" ht="15" hidden="false" customHeight="false" outlineLevel="0" collapsed="false">
      <c r="B7" s="4" t="s">
        <v>4</v>
      </c>
    </row>
    <row r="8" customFormat="false" ht="15" hidden="false" customHeight="false" outlineLevel="0" collapsed="false">
      <c r="B8" s="5" t="s">
        <v>5</v>
      </c>
      <c r="C8" s="3" t="s">
        <v>6</v>
      </c>
      <c r="D8" s="3"/>
      <c r="E8" s="3"/>
      <c r="F8" s="3"/>
    </row>
    <row r="9" customFormat="false" ht="15" hidden="false" customHeight="false" outlineLevel="0" collapsed="false">
      <c r="B9" s="6" t="s">
        <v>7</v>
      </c>
      <c r="C9" s="3" t="s">
        <v>8</v>
      </c>
      <c r="D9" s="3"/>
      <c r="E9" s="3"/>
      <c r="F9" s="3"/>
    </row>
    <row r="10" customFormat="false" ht="15" hidden="false" customHeight="false" outlineLevel="0" collapsed="false">
      <c r="B10" s="7" t="s">
        <v>9</v>
      </c>
      <c r="C10" s="3" t="s">
        <v>10</v>
      </c>
      <c r="D10" s="3"/>
      <c r="E10" s="3"/>
      <c r="F10" s="3"/>
    </row>
    <row r="12" customFormat="false" ht="15" hidden="false" customHeight="false" outlineLevel="0" collapsed="false">
      <c r="B12" s="2" t="s">
        <v>11</v>
      </c>
    </row>
    <row r="13" customFormat="false" ht="15" hidden="false" customHeight="false" outlineLevel="0" collapsed="false">
      <c r="B13" s="7" t="s">
        <v>12</v>
      </c>
      <c r="C13" s="3" t="s">
        <v>13</v>
      </c>
      <c r="D13" s="3"/>
      <c r="E13" s="3"/>
      <c r="F13" s="3"/>
    </row>
    <row r="14" customFormat="false" ht="15" hidden="false" customHeight="false" outlineLevel="0" collapsed="false">
      <c r="B14" s="7" t="s">
        <v>14</v>
      </c>
      <c r="C14" s="3" t="s">
        <v>15</v>
      </c>
      <c r="D14" s="3"/>
      <c r="E14" s="3"/>
      <c r="F14" s="3"/>
    </row>
    <row r="15" customFormat="false" ht="15" hidden="false" customHeight="false" outlineLevel="0" collapsed="false">
      <c r="B15" s="7" t="s">
        <v>16</v>
      </c>
      <c r="C15" s="3" t="s">
        <v>17</v>
      </c>
      <c r="D15" s="3"/>
      <c r="E15" s="3"/>
      <c r="F15" s="3"/>
    </row>
    <row r="16" customFormat="false" ht="15" hidden="false" customHeight="false" outlineLevel="0" collapsed="false">
      <c r="B16" s="8" t="s">
        <v>18</v>
      </c>
      <c r="C16" s="3" t="s">
        <v>19</v>
      </c>
      <c r="D16" s="3"/>
      <c r="E16" s="3"/>
      <c r="F16" s="3"/>
    </row>
    <row r="17" customFormat="false" ht="15" hidden="false" customHeight="false" outlineLevel="0" collapsed="false">
      <c r="B17" s="7" t="s">
        <v>20</v>
      </c>
      <c r="C17" s="3" t="s">
        <v>21</v>
      </c>
      <c r="D17" s="3"/>
      <c r="E17" s="3"/>
      <c r="F17" s="3"/>
    </row>
    <row r="18" customFormat="false" ht="15" hidden="false" customHeight="false" outlineLevel="0" collapsed="false">
      <c r="B18" s="7" t="s">
        <v>22</v>
      </c>
      <c r="C18" s="3" t="s">
        <v>23</v>
      </c>
      <c r="D18" s="3"/>
      <c r="E18" s="3"/>
      <c r="F18" s="3"/>
    </row>
    <row r="19" customFormat="false" ht="15" hidden="false" customHeight="false" outlineLevel="0" collapsed="false">
      <c r="B19" s="7" t="s">
        <v>24</v>
      </c>
      <c r="C19" s="3" t="s">
        <v>25</v>
      </c>
      <c r="D19" s="3"/>
      <c r="E19" s="3"/>
      <c r="F19" s="3"/>
    </row>
    <row r="20" customFormat="false" ht="15" hidden="false" customHeight="false" outlineLevel="0" collapsed="false">
      <c r="B20" s="7" t="s">
        <v>26</v>
      </c>
      <c r="C20" s="3" t="s">
        <v>27</v>
      </c>
      <c r="D20" s="3"/>
      <c r="E20" s="3"/>
      <c r="F20" s="3"/>
    </row>
    <row r="21" customFormat="false" ht="15" hidden="false" customHeight="false" outlineLevel="0" collapsed="false">
      <c r="B21" s="7" t="s">
        <v>28</v>
      </c>
      <c r="C21" s="3" t="s">
        <v>29</v>
      </c>
      <c r="D21" s="3"/>
      <c r="E21" s="3"/>
      <c r="F21" s="3"/>
    </row>
    <row r="22" customFormat="false" ht="15" hidden="false" customHeight="false" outlineLevel="0" collapsed="false">
      <c r="B22" s="7" t="s">
        <v>30</v>
      </c>
      <c r="C22" s="3" t="s">
        <v>31</v>
      </c>
      <c r="D22" s="3"/>
      <c r="E22" s="3"/>
      <c r="F22" s="3"/>
    </row>
    <row r="23" customFormat="false" ht="15" hidden="false" customHeight="false" outlineLevel="0" collapsed="false">
      <c r="B23" s="7" t="s">
        <v>32</v>
      </c>
      <c r="C23" s="3" t="s">
        <v>33</v>
      </c>
      <c r="D23" s="3"/>
      <c r="E23" s="3"/>
      <c r="F23" s="3"/>
    </row>
    <row r="25" customFormat="false" ht="15" hidden="false" customHeight="false" outlineLevel="0" collapsed="false">
      <c r="B25" s="2" t="s">
        <v>34</v>
      </c>
    </row>
    <row r="26" customFormat="false" ht="15" hidden="false" customHeight="false" outlineLevel="0" collapsed="false">
      <c r="B26" s="3" t="s">
        <v>35</v>
      </c>
      <c r="C26" s="3"/>
      <c r="D26" s="3"/>
      <c r="E26" s="3"/>
      <c r="F26" s="3"/>
    </row>
    <row r="27" customFormat="false" ht="15" hidden="false" customHeight="false" outlineLevel="0" collapsed="false">
      <c r="B27" s="3" t="s">
        <v>36</v>
      </c>
      <c r="C27" s="3"/>
      <c r="D27" s="3"/>
      <c r="E27" s="3"/>
      <c r="F27" s="3"/>
    </row>
    <row r="28" customFormat="false" ht="15" hidden="false" customHeight="false" outlineLevel="0" collapsed="false">
      <c r="B28" s="3" t="s">
        <v>37</v>
      </c>
      <c r="C28" s="3"/>
      <c r="D28" s="3"/>
      <c r="E28" s="3"/>
      <c r="F28" s="3"/>
    </row>
    <row r="29" customFormat="false" ht="15" hidden="false" customHeight="false" outlineLevel="0" collapsed="false">
      <c r="B29" s="3" t="s">
        <v>38</v>
      </c>
      <c r="C29" s="3"/>
      <c r="D29" s="3"/>
      <c r="E29" s="3"/>
      <c r="F29" s="3"/>
    </row>
  </sheetData>
  <mergeCells count="21">
    <mergeCell ref="A1:F1"/>
    <mergeCell ref="B4:F4"/>
    <mergeCell ref="B5:F5"/>
    <mergeCell ref="C8:F8"/>
    <mergeCell ref="C9:F9"/>
    <mergeCell ref="C10:F10"/>
    <mergeCell ref="C13:F13"/>
    <mergeCell ref="C14:F14"/>
    <mergeCell ref="C15:F15"/>
    <mergeCell ref="C16:F16"/>
    <mergeCell ref="C17:F17"/>
    <mergeCell ref="C18:F18"/>
    <mergeCell ref="C19:F19"/>
    <mergeCell ref="C20:F20"/>
    <mergeCell ref="C21:F21"/>
    <mergeCell ref="C22:F22"/>
    <mergeCell ref="C23:F23"/>
    <mergeCell ref="B26:F26"/>
    <mergeCell ref="B27:F27"/>
    <mergeCell ref="B28:F28"/>
    <mergeCell ref="B29:F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6"/>
    <col collapsed="false" customWidth="true" hidden="false" outlineLevel="0" max="4" min="4" style="0" width="13"/>
    <col collapsed="false" customWidth="true" hidden="false" outlineLevel="0" max="6" min="5" style="0" width="15"/>
    <col collapsed="false" customWidth="true" hidden="false" outlineLevel="0" max="8" min="7" style="0" width="20"/>
    <col collapsed="false" customWidth="true" hidden="false" outlineLevel="0" max="9" min="9" style="0" width="14"/>
  </cols>
  <sheetData>
    <row r="1" customFormat="false" ht="25.5" hidden="false" customHeight="true" outlineLevel="0" collapsed="false">
      <c r="A1" s="1" t="s">
        <v>39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B2" s="9" t="s">
        <v>40</v>
      </c>
      <c r="C2" s="9"/>
      <c r="D2" s="9"/>
      <c r="E2" s="9"/>
      <c r="F2" s="9"/>
      <c r="G2" s="9"/>
      <c r="H2" s="9"/>
      <c r="I2" s="9"/>
    </row>
    <row r="4" customFormat="false" ht="31.5" hidden="false" customHeight="true" outlineLevel="0" collapsed="false">
      <c r="B4" s="10" t="s">
        <v>41</v>
      </c>
      <c r="C4" s="10" t="s">
        <v>42</v>
      </c>
      <c r="D4" s="10" t="s">
        <v>43</v>
      </c>
      <c r="E4" s="11" t="s">
        <v>44</v>
      </c>
      <c r="F4" s="10" t="s">
        <v>45</v>
      </c>
      <c r="G4" s="10" t="s">
        <v>46</v>
      </c>
      <c r="H4" s="10" t="s">
        <v>47</v>
      </c>
      <c r="I4" s="11" t="s">
        <v>48</v>
      </c>
    </row>
    <row r="5" customFormat="false" ht="33.75" hidden="false" customHeight="true" outlineLevel="0" collapsed="false">
      <c r="B5" s="12" t="s">
        <v>49</v>
      </c>
      <c r="C5" s="13" t="s">
        <v>50</v>
      </c>
      <c r="D5" s="13" t="n">
        <v>20</v>
      </c>
      <c r="E5" s="13" t="n">
        <v>60</v>
      </c>
      <c r="F5" s="14" t="n">
        <f aca="false">D5*E5/60</f>
        <v>20</v>
      </c>
      <c r="G5" s="13" t="s">
        <v>51</v>
      </c>
      <c r="H5" s="13" t="s">
        <v>52</v>
      </c>
      <c r="I5" s="15" t="s">
        <v>53</v>
      </c>
    </row>
    <row r="6" customFormat="false" ht="27.75" hidden="false" customHeight="true" outlineLevel="0" collapsed="false">
      <c r="B6" s="16"/>
      <c r="C6" s="16"/>
      <c r="D6" s="16"/>
      <c r="E6" s="16"/>
      <c r="F6" s="17" t="str">
        <f aca="false">IF(COUNT(D6:E6)=2,D6*E6/60,"")</f>
        <v/>
      </c>
      <c r="G6" s="16"/>
      <c r="H6" s="16"/>
      <c r="I6" s="16"/>
    </row>
    <row r="7" customFormat="false" ht="27.75" hidden="false" customHeight="true" outlineLevel="0" collapsed="false">
      <c r="B7" s="16"/>
      <c r="C7" s="16"/>
      <c r="D7" s="16"/>
      <c r="E7" s="16"/>
      <c r="F7" s="17" t="str">
        <f aca="false">IF(COUNT(D7:E7)=2,D7*E7/60,"")</f>
        <v/>
      </c>
      <c r="G7" s="16"/>
      <c r="H7" s="16"/>
      <c r="I7" s="16"/>
    </row>
    <row r="8" customFormat="false" ht="27.75" hidden="false" customHeight="true" outlineLevel="0" collapsed="false">
      <c r="B8" s="16"/>
      <c r="C8" s="16"/>
      <c r="D8" s="16"/>
      <c r="E8" s="16"/>
      <c r="F8" s="17" t="str">
        <f aca="false">IF(COUNT(D8:E8)=2,D8*E8/60,"")</f>
        <v/>
      </c>
      <c r="G8" s="16"/>
      <c r="H8" s="16"/>
      <c r="I8" s="16"/>
    </row>
    <row r="9" customFormat="false" ht="27.75" hidden="false" customHeight="true" outlineLevel="0" collapsed="false">
      <c r="B9" s="16"/>
      <c r="C9" s="16"/>
      <c r="D9" s="16"/>
      <c r="E9" s="16"/>
      <c r="F9" s="17" t="str">
        <f aca="false">IF(COUNT(D9:E9)=2,D9*E9/60,"")</f>
        <v/>
      </c>
      <c r="G9" s="16"/>
      <c r="H9" s="16"/>
      <c r="I9" s="16"/>
    </row>
    <row r="10" customFormat="false" ht="27.75" hidden="false" customHeight="true" outlineLevel="0" collapsed="false">
      <c r="B10" s="16"/>
      <c r="C10" s="16"/>
      <c r="D10" s="16"/>
      <c r="E10" s="16"/>
      <c r="F10" s="17" t="str">
        <f aca="false">IF(COUNT(D10:E10)=2,D10*E10/60,"")</f>
        <v/>
      </c>
      <c r="G10" s="16"/>
      <c r="H10" s="16"/>
      <c r="I10" s="16"/>
    </row>
    <row r="11" customFormat="false" ht="27.75" hidden="false" customHeight="true" outlineLevel="0" collapsed="false">
      <c r="B11" s="16"/>
      <c r="C11" s="16"/>
      <c r="D11" s="16"/>
      <c r="E11" s="16"/>
      <c r="F11" s="17" t="str">
        <f aca="false">IF(COUNT(D11:E11)=2,D11*E11/60,"")</f>
        <v/>
      </c>
      <c r="G11" s="16"/>
      <c r="H11" s="16"/>
      <c r="I11" s="16"/>
    </row>
    <row r="12" customFormat="false" ht="27.75" hidden="false" customHeight="true" outlineLevel="0" collapsed="false">
      <c r="B12" s="16"/>
      <c r="C12" s="16"/>
      <c r="D12" s="16"/>
      <c r="E12" s="16"/>
      <c r="F12" s="17" t="str">
        <f aca="false">IF(COUNT(D12:E12)=2,D12*E12/60,"")</f>
        <v/>
      </c>
      <c r="G12" s="16"/>
      <c r="H12" s="16"/>
      <c r="I12" s="16"/>
    </row>
    <row r="13" customFormat="false" ht="27.75" hidden="false" customHeight="true" outlineLevel="0" collapsed="false">
      <c r="B13" s="16"/>
      <c r="C13" s="16"/>
      <c r="D13" s="16"/>
      <c r="E13" s="16"/>
      <c r="F13" s="17" t="str">
        <f aca="false">IF(COUNT(D13:E13)=2,D13*E13/60,"")</f>
        <v/>
      </c>
      <c r="G13" s="16"/>
      <c r="H13" s="16"/>
      <c r="I13" s="16"/>
    </row>
    <row r="14" customFormat="false" ht="27.75" hidden="false" customHeight="true" outlineLevel="0" collapsed="false">
      <c r="B14" s="16"/>
      <c r="C14" s="16"/>
      <c r="D14" s="16"/>
      <c r="E14" s="16"/>
      <c r="F14" s="17" t="str">
        <f aca="false">IF(COUNT(D14:E14)=2,D14*E14/60,"")</f>
        <v/>
      </c>
      <c r="G14" s="16"/>
      <c r="H14" s="16"/>
      <c r="I14" s="16"/>
    </row>
    <row r="15" customFormat="false" ht="27.75" hidden="false" customHeight="true" outlineLevel="0" collapsed="false">
      <c r="B15" s="16"/>
      <c r="C15" s="16"/>
      <c r="D15" s="16"/>
      <c r="E15" s="16"/>
      <c r="F15" s="17" t="str">
        <f aca="false">IF(COUNT(D15:E15)=2,D15*E15/60,"")</f>
        <v/>
      </c>
      <c r="G15" s="16"/>
      <c r="H15" s="16"/>
      <c r="I15" s="16"/>
    </row>
    <row r="16" customFormat="false" ht="27.75" hidden="false" customHeight="true" outlineLevel="0" collapsed="false">
      <c r="B16" s="16"/>
      <c r="C16" s="16"/>
      <c r="D16" s="16"/>
      <c r="E16" s="16"/>
      <c r="F16" s="17" t="str">
        <f aca="false">IF(COUNT(D16:E16)=2,D16*E16/60,"")</f>
        <v/>
      </c>
      <c r="G16" s="16"/>
      <c r="H16" s="16"/>
      <c r="I16" s="16"/>
    </row>
    <row r="17" customFormat="false" ht="27.75" hidden="false" customHeight="true" outlineLevel="0" collapsed="false">
      <c r="B17" s="16"/>
      <c r="C17" s="16"/>
      <c r="D17" s="16"/>
      <c r="E17" s="16"/>
      <c r="F17" s="17" t="str">
        <f aca="false">IF(COUNT(D17:E17)=2,D17*E17/60,"")</f>
        <v/>
      </c>
      <c r="G17" s="16"/>
      <c r="H17" s="16"/>
      <c r="I17" s="16"/>
    </row>
    <row r="18" customFormat="false" ht="27.75" hidden="false" customHeight="true" outlineLevel="0" collapsed="false">
      <c r="B18" s="16"/>
      <c r="C18" s="16"/>
      <c r="D18" s="16"/>
      <c r="E18" s="16"/>
      <c r="F18" s="17" t="str">
        <f aca="false">IF(COUNT(D18:E18)=2,D18*E18/60,"")</f>
        <v/>
      </c>
      <c r="G18" s="16"/>
      <c r="H18" s="16"/>
      <c r="I18" s="16"/>
    </row>
    <row r="19" customFormat="false" ht="27.75" hidden="false" customHeight="true" outlineLevel="0" collapsed="false">
      <c r="B19" s="16"/>
      <c r="C19" s="16"/>
      <c r="D19" s="16"/>
      <c r="E19" s="16"/>
      <c r="F19" s="17" t="str">
        <f aca="false">IF(COUNT(D19:E19)=2,D19*E19/60,"")</f>
        <v/>
      </c>
      <c r="G19" s="16"/>
      <c r="H19" s="16"/>
      <c r="I19" s="16"/>
    </row>
    <row r="20" customFormat="false" ht="27.75" hidden="false" customHeight="true" outlineLevel="0" collapsed="false">
      <c r="B20" s="16"/>
      <c r="C20" s="16"/>
      <c r="D20" s="16"/>
      <c r="E20" s="16"/>
      <c r="F20" s="17" t="str">
        <f aca="false">IF(COUNT(D20:E20)=2,D20*E20/60,"")</f>
        <v/>
      </c>
      <c r="G20" s="16"/>
      <c r="H20" s="16"/>
      <c r="I20" s="16"/>
    </row>
    <row r="21" customFormat="false" ht="27.75" hidden="false" customHeight="true" outlineLevel="0" collapsed="false">
      <c r="B21" s="16"/>
      <c r="C21" s="16"/>
      <c r="D21" s="16"/>
      <c r="E21" s="16"/>
      <c r="F21" s="17" t="str">
        <f aca="false">IF(COUNT(D21:E21)=2,D21*E21/60,"")</f>
        <v/>
      </c>
      <c r="G21" s="16"/>
      <c r="H21" s="16"/>
      <c r="I21" s="16"/>
    </row>
    <row r="22" customFormat="false" ht="27.75" hidden="false" customHeight="true" outlineLevel="0" collapsed="false">
      <c r="B22" s="16"/>
      <c r="C22" s="16"/>
      <c r="D22" s="16"/>
      <c r="E22" s="16"/>
      <c r="F22" s="17" t="str">
        <f aca="false">IF(COUNT(D22:E22)=2,D22*E22/60,"")</f>
        <v/>
      </c>
      <c r="G22" s="16"/>
      <c r="H22" s="16"/>
      <c r="I22" s="16"/>
    </row>
    <row r="23" customFormat="false" ht="27.75" hidden="false" customHeight="true" outlineLevel="0" collapsed="false">
      <c r="B23" s="16"/>
      <c r="C23" s="16"/>
      <c r="D23" s="16"/>
      <c r="E23" s="16"/>
      <c r="F23" s="17" t="str">
        <f aca="false">IF(COUNT(D23:E23)=2,D23*E23/60,"")</f>
        <v/>
      </c>
      <c r="G23" s="16"/>
      <c r="H23" s="16"/>
      <c r="I23" s="16"/>
    </row>
    <row r="25" customFormat="false" ht="17.15" hidden="false" customHeight="false" outlineLevel="0" collapsed="false">
      <c r="B25" s="18" t="s">
        <v>54</v>
      </c>
      <c r="F25" s="19" t="n">
        <f aca="false">SUM(F6:F23)</f>
        <v>0</v>
      </c>
    </row>
    <row r="27" customFormat="false" ht="15" hidden="false" customHeight="false" outlineLevel="0" collapsed="false">
      <c r="B27" s="20" t="s">
        <v>55</v>
      </c>
    </row>
    <row r="28" customFormat="false" ht="15" hidden="false" customHeight="false" outlineLevel="0" collapsed="false">
      <c r="B28" s="3" t="s">
        <v>56</v>
      </c>
      <c r="C28" s="3"/>
      <c r="D28" s="3"/>
      <c r="E28" s="3"/>
      <c r="F28" s="3"/>
      <c r="G28" s="3"/>
      <c r="H28" s="3"/>
      <c r="I28" s="3"/>
    </row>
    <row r="29" customFormat="false" ht="15" hidden="false" customHeight="false" outlineLevel="0" collapsed="false">
      <c r="B29" s="3" t="s">
        <v>57</v>
      </c>
      <c r="C29" s="3"/>
      <c r="D29" s="3"/>
      <c r="E29" s="3"/>
      <c r="F29" s="3"/>
      <c r="G29" s="3"/>
      <c r="H29" s="3"/>
      <c r="I29" s="3"/>
    </row>
  </sheetData>
  <mergeCells count="4">
    <mergeCell ref="A1:I1"/>
    <mergeCell ref="B2:I2"/>
    <mergeCell ref="B28:I28"/>
    <mergeCell ref="B29:I29"/>
  </mergeCells>
  <dataValidations count="1">
    <dataValidation allowBlank="true" errorStyle="stop" operator="between" showDropDown="false" showErrorMessage="false" showInputMessage="false" sqref="I6:I23" type="list">
      <formula1>"0：必要ない,1：あまり困らない,2：できれば楽にしたい,3：かなり困っている,4：最優先"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14"/>
    <col collapsed="false" customWidth="true" hidden="false" outlineLevel="0" max="4" min="4" style="0" width="24"/>
    <col collapsed="false" customWidth="true" hidden="false" outlineLevel="0" max="5" min="5" style="0" width="22"/>
    <col collapsed="false" customWidth="true" hidden="false" outlineLevel="0" max="6" min="6" style="0" width="34"/>
    <col collapsed="false" customWidth="true" hidden="false" outlineLevel="0" max="8" min="7" style="0" width="26"/>
    <col collapsed="false" customWidth="true" hidden="false" outlineLevel="0" max="9" min="9" style="0" width="24"/>
    <col collapsed="false" customWidth="true" hidden="false" outlineLevel="0" max="10" min="10" style="0" width="32"/>
  </cols>
  <sheetData>
    <row r="1" customFormat="false" ht="25.5" hidden="false" customHeight="true" outlineLevel="0" collapsed="false">
      <c r="A1" s="1" t="s">
        <v>58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B2" s="21" t="s">
        <v>59</v>
      </c>
      <c r="C2" s="21"/>
      <c r="D2" s="21"/>
      <c r="E2" s="21"/>
      <c r="F2" s="21"/>
      <c r="G2" s="21"/>
      <c r="H2" s="21"/>
      <c r="I2" s="21"/>
    </row>
    <row r="4" customFormat="false" ht="31.5" hidden="false" customHeight="true" outlineLevel="0" collapsed="false">
      <c r="B4" s="11" t="s">
        <v>60</v>
      </c>
      <c r="C4" s="10" t="s">
        <v>61</v>
      </c>
      <c r="D4" s="10" t="s">
        <v>62</v>
      </c>
      <c r="E4" s="10" t="s">
        <v>63</v>
      </c>
      <c r="F4" s="10" t="s">
        <v>64</v>
      </c>
      <c r="G4" s="10" t="s">
        <v>65</v>
      </c>
      <c r="H4" s="10" t="s">
        <v>66</v>
      </c>
      <c r="I4" s="10" t="s">
        <v>67</v>
      </c>
      <c r="J4" s="10" t="s">
        <v>68</v>
      </c>
    </row>
    <row r="5" customFormat="false" ht="45.75" hidden="false" customHeight="true" outlineLevel="0" collapsed="false">
      <c r="B5" s="12" t="n">
        <v>7</v>
      </c>
      <c r="C5" s="13" t="s">
        <v>69</v>
      </c>
      <c r="D5" s="13" t="s">
        <v>70</v>
      </c>
      <c r="E5" s="13" t="s">
        <v>71</v>
      </c>
      <c r="F5" s="13" t="s">
        <v>72</v>
      </c>
      <c r="G5" s="13" t="s">
        <v>73</v>
      </c>
      <c r="H5" s="13" t="s">
        <v>74</v>
      </c>
      <c r="I5" s="13" t="s">
        <v>75</v>
      </c>
      <c r="J5" s="13" t="s">
        <v>76</v>
      </c>
    </row>
    <row r="6" customFormat="false" ht="37.5" hidden="false" customHeight="true" outlineLevel="0" collapsed="false">
      <c r="B6" s="22" t="n">
        <v>1</v>
      </c>
      <c r="C6" s="16"/>
      <c r="D6" s="16"/>
      <c r="E6" s="16"/>
      <c r="F6" s="16"/>
      <c r="G6" s="16"/>
      <c r="H6" s="16"/>
      <c r="I6" s="16"/>
    </row>
    <row r="7" customFormat="false" ht="37.5" hidden="false" customHeight="true" outlineLevel="0" collapsed="false">
      <c r="B7" s="22" t="n">
        <v>2</v>
      </c>
      <c r="C7" s="16"/>
      <c r="D7" s="16"/>
      <c r="E7" s="16"/>
      <c r="F7" s="16"/>
      <c r="G7" s="16"/>
      <c r="H7" s="16"/>
      <c r="I7" s="16"/>
    </row>
    <row r="8" customFormat="false" ht="37.5" hidden="false" customHeight="true" outlineLevel="0" collapsed="false">
      <c r="B8" s="22" t="n">
        <v>3</v>
      </c>
      <c r="C8" s="16"/>
      <c r="D8" s="16"/>
      <c r="E8" s="16"/>
      <c r="F8" s="16"/>
      <c r="G8" s="16"/>
      <c r="H8" s="16"/>
      <c r="I8" s="16"/>
    </row>
    <row r="9" customFormat="false" ht="37.5" hidden="false" customHeight="true" outlineLevel="0" collapsed="false">
      <c r="B9" s="22" t="n">
        <v>4</v>
      </c>
      <c r="C9" s="16"/>
      <c r="D9" s="16"/>
      <c r="E9" s="16"/>
      <c r="F9" s="16"/>
      <c r="G9" s="16"/>
      <c r="H9" s="16"/>
      <c r="I9" s="16"/>
    </row>
    <row r="10" customFormat="false" ht="37.5" hidden="false" customHeight="true" outlineLevel="0" collapsed="false">
      <c r="B10" s="22" t="n">
        <v>5</v>
      </c>
      <c r="C10" s="16"/>
      <c r="D10" s="16"/>
      <c r="E10" s="16"/>
      <c r="F10" s="16"/>
      <c r="G10" s="16"/>
      <c r="H10" s="16"/>
      <c r="I10" s="16"/>
    </row>
    <row r="11" customFormat="false" ht="37.5" hidden="false" customHeight="true" outlineLevel="0" collapsed="false">
      <c r="B11" s="22" t="n">
        <v>6</v>
      </c>
      <c r="C11" s="16"/>
      <c r="D11" s="16"/>
      <c r="E11" s="16"/>
      <c r="F11" s="16"/>
      <c r="G11" s="16"/>
      <c r="H11" s="16"/>
      <c r="I11" s="16"/>
    </row>
    <row r="12" customFormat="false" ht="37.5" hidden="false" customHeight="true" outlineLevel="0" collapsed="false">
      <c r="B12" s="22" t="n">
        <v>7</v>
      </c>
      <c r="C12" s="16"/>
      <c r="D12" s="16"/>
      <c r="E12" s="16"/>
      <c r="F12" s="16"/>
      <c r="G12" s="16"/>
      <c r="H12" s="16"/>
      <c r="I12" s="16"/>
    </row>
    <row r="13" customFormat="false" ht="37.5" hidden="false" customHeight="true" outlineLevel="0" collapsed="false">
      <c r="B13" s="22" t="n">
        <v>8</v>
      </c>
      <c r="C13" s="16"/>
      <c r="D13" s="16"/>
      <c r="E13" s="16"/>
      <c r="F13" s="16"/>
      <c r="G13" s="16"/>
      <c r="H13" s="16"/>
      <c r="I13" s="16"/>
    </row>
    <row r="14" customFormat="false" ht="37.5" hidden="false" customHeight="true" outlineLevel="0" collapsed="false">
      <c r="B14" s="22" t="n">
        <v>9</v>
      </c>
      <c r="C14" s="16"/>
      <c r="D14" s="16"/>
      <c r="E14" s="16"/>
      <c r="F14" s="16"/>
      <c r="G14" s="16"/>
      <c r="H14" s="16"/>
      <c r="I14" s="16"/>
    </row>
    <row r="15" customFormat="false" ht="37.5" hidden="false" customHeight="true" outlineLevel="0" collapsed="false">
      <c r="B15" s="22" t="n">
        <v>10</v>
      </c>
      <c r="C15" s="16"/>
      <c r="D15" s="16"/>
      <c r="E15" s="16"/>
      <c r="F15" s="16"/>
      <c r="G15" s="16"/>
      <c r="H15" s="16"/>
      <c r="I15" s="16"/>
    </row>
    <row r="16" customFormat="false" ht="37.5" hidden="false" customHeight="true" outlineLevel="0" collapsed="false">
      <c r="B16" s="22" t="n">
        <v>11</v>
      </c>
      <c r="C16" s="16"/>
      <c r="D16" s="16"/>
      <c r="E16" s="16"/>
      <c r="F16" s="16"/>
      <c r="G16" s="16"/>
      <c r="H16" s="16"/>
      <c r="I16" s="16"/>
    </row>
    <row r="17" customFormat="false" ht="37.5" hidden="false" customHeight="true" outlineLevel="0" collapsed="false">
      <c r="B17" s="22" t="n">
        <v>12</v>
      </c>
      <c r="C17" s="16"/>
      <c r="D17" s="16"/>
      <c r="E17" s="16"/>
      <c r="F17" s="16"/>
      <c r="G17" s="16"/>
      <c r="H17" s="16"/>
      <c r="I17" s="16"/>
    </row>
    <row r="18" customFormat="false" ht="37.5" hidden="false" customHeight="true" outlineLevel="0" collapsed="false">
      <c r="B18" s="22" t="n">
        <v>13</v>
      </c>
      <c r="C18" s="16"/>
      <c r="D18" s="16"/>
      <c r="E18" s="16"/>
      <c r="F18" s="16"/>
      <c r="G18" s="16"/>
      <c r="H18" s="16"/>
      <c r="I18" s="16"/>
    </row>
    <row r="19" customFormat="false" ht="37.5" hidden="false" customHeight="true" outlineLevel="0" collapsed="false">
      <c r="B19" s="22" t="n">
        <v>14</v>
      </c>
      <c r="C19" s="16"/>
      <c r="D19" s="16"/>
      <c r="E19" s="16"/>
      <c r="F19" s="16"/>
      <c r="G19" s="16"/>
      <c r="H19" s="16"/>
      <c r="I19" s="16"/>
    </row>
    <row r="20" customFormat="false" ht="37.5" hidden="false" customHeight="true" outlineLevel="0" collapsed="false">
      <c r="B20" s="22" t="n">
        <v>15</v>
      </c>
      <c r="C20" s="16"/>
      <c r="D20" s="16"/>
      <c r="E20" s="16"/>
      <c r="F20" s="16"/>
      <c r="G20" s="16"/>
      <c r="H20" s="16"/>
      <c r="I20" s="16"/>
    </row>
    <row r="21" customFormat="false" ht="37.5" hidden="false" customHeight="true" outlineLevel="0" collapsed="false">
      <c r="B21" s="22" t="n">
        <v>16</v>
      </c>
      <c r="C21" s="16"/>
      <c r="D21" s="16"/>
      <c r="E21" s="16"/>
      <c r="F21" s="16"/>
      <c r="G21" s="16"/>
      <c r="H21" s="16"/>
      <c r="I21" s="16"/>
    </row>
    <row r="22" customFormat="false" ht="37.5" hidden="false" customHeight="true" outlineLevel="0" collapsed="false">
      <c r="B22" s="22" t="n">
        <v>17</v>
      </c>
      <c r="C22" s="16"/>
      <c r="D22" s="16"/>
      <c r="E22" s="16"/>
      <c r="F22" s="16"/>
      <c r="G22" s="16"/>
      <c r="H22" s="16"/>
      <c r="I22" s="16"/>
    </row>
    <row r="23" customFormat="false" ht="37.5" hidden="false" customHeight="true" outlineLevel="0" collapsed="false">
      <c r="B23" s="22" t="n">
        <v>18</v>
      </c>
      <c r="C23" s="16"/>
      <c r="D23" s="16"/>
      <c r="E23" s="16"/>
      <c r="F23" s="16"/>
      <c r="G23" s="16"/>
      <c r="H23" s="16"/>
      <c r="I23" s="16"/>
    </row>
    <row r="24" customFormat="false" ht="37.5" hidden="false" customHeight="true" outlineLevel="0" collapsed="false">
      <c r="B24" s="22" t="n">
        <v>19</v>
      </c>
      <c r="C24" s="16"/>
      <c r="D24" s="16"/>
      <c r="E24" s="16"/>
      <c r="F24" s="16"/>
      <c r="G24" s="16"/>
      <c r="H24" s="16"/>
      <c r="I24" s="16"/>
    </row>
    <row r="25" customFormat="false" ht="37.5" hidden="false" customHeight="true" outlineLevel="0" collapsed="false">
      <c r="B25" s="22" t="n">
        <v>20</v>
      </c>
      <c r="C25" s="16"/>
      <c r="D25" s="16"/>
      <c r="E25" s="16"/>
      <c r="F25" s="16"/>
      <c r="G25" s="16"/>
      <c r="H25" s="16"/>
      <c r="I25" s="16"/>
    </row>
  </sheetData>
  <mergeCells count="2">
    <mergeCell ref="A1:I1"/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4" min="4" style="0" width="78"/>
  </cols>
  <sheetData>
    <row r="1" customFormat="false" ht="25.5" hidden="false" customHeight="true" outlineLevel="0" collapsed="false">
      <c r="A1" s="1" t="s">
        <v>77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B2" s="9" t="s">
        <v>78</v>
      </c>
      <c r="C2" s="9"/>
      <c r="D2" s="9"/>
      <c r="E2" s="9"/>
      <c r="F2" s="9"/>
      <c r="G2" s="9"/>
    </row>
    <row r="4" customFormat="false" ht="31.5" hidden="false" customHeight="true" outlineLevel="0" collapsed="false">
      <c r="B4" s="10" t="s">
        <v>79</v>
      </c>
      <c r="C4" s="10" t="s">
        <v>80</v>
      </c>
      <c r="D4" s="10" t="s">
        <v>81</v>
      </c>
    </row>
    <row r="5" customFormat="false" ht="33.75" hidden="false" customHeight="true" outlineLevel="0" collapsed="false">
      <c r="B5" s="23" t="s">
        <v>82</v>
      </c>
      <c r="C5" s="24" t="s">
        <v>83</v>
      </c>
      <c r="D5" s="25" t="s">
        <v>84</v>
      </c>
    </row>
    <row r="6" customFormat="false" ht="33.75" hidden="false" customHeight="true" outlineLevel="0" collapsed="false">
      <c r="B6" s="23" t="s">
        <v>85</v>
      </c>
      <c r="C6" s="24" t="s">
        <v>83</v>
      </c>
      <c r="D6" s="25" t="s">
        <v>86</v>
      </c>
    </row>
    <row r="7" customFormat="false" ht="33.75" hidden="false" customHeight="true" outlineLevel="0" collapsed="false">
      <c r="B7" s="23" t="s">
        <v>87</v>
      </c>
      <c r="C7" s="26" t="s">
        <v>88</v>
      </c>
      <c r="D7" s="25" t="s">
        <v>89</v>
      </c>
    </row>
    <row r="8" customFormat="false" ht="33.75" hidden="false" customHeight="true" outlineLevel="0" collapsed="false">
      <c r="B8" s="23" t="s">
        <v>90</v>
      </c>
      <c r="C8" s="26" t="s">
        <v>88</v>
      </c>
      <c r="D8" s="25" t="s">
        <v>91</v>
      </c>
    </row>
    <row r="9" customFormat="false" ht="33.75" hidden="false" customHeight="true" outlineLevel="0" collapsed="false">
      <c r="B9" s="23" t="s">
        <v>92</v>
      </c>
      <c r="C9" s="24" t="s">
        <v>93</v>
      </c>
      <c r="D9" s="25" t="s">
        <v>94</v>
      </c>
    </row>
    <row r="11" customFormat="false" ht="15" hidden="false" customHeight="false" outlineLevel="0" collapsed="false">
      <c r="B11" s="2" t="s">
        <v>95</v>
      </c>
    </row>
    <row r="12" customFormat="false" ht="48" hidden="false" customHeight="true" outlineLevel="0" collapsed="false">
      <c r="B12" s="23" t="s">
        <v>82</v>
      </c>
      <c r="C12" s="27"/>
      <c r="D12" s="27"/>
    </row>
    <row r="13" customFormat="false" ht="48" hidden="false" customHeight="true" outlineLevel="0" collapsed="false">
      <c r="B13" s="23" t="s">
        <v>85</v>
      </c>
      <c r="C13" s="27"/>
      <c r="D13" s="27"/>
    </row>
    <row r="14" customFormat="false" ht="48" hidden="false" customHeight="true" outlineLevel="0" collapsed="false">
      <c r="B14" s="23" t="s">
        <v>87</v>
      </c>
      <c r="C14" s="27"/>
      <c r="D14" s="27"/>
    </row>
    <row r="15" customFormat="false" ht="48" hidden="false" customHeight="true" outlineLevel="0" collapsed="false">
      <c r="B15" s="23" t="s">
        <v>90</v>
      </c>
      <c r="C15" s="27"/>
      <c r="D15" s="27"/>
    </row>
    <row r="16" customFormat="false" ht="48" hidden="false" customHeight="true" outlineLevel="0" collapsed="false">
      <c r="B16" s="23" t="s">
        <v>92</v>
      </c>
      <c r="C16" s="27"/>
      <c r="D16" s="27"/>
    </row>
    <row r="18" customFormat="false" ht="15" hidden="false" customHeight="false" outlineLevel="0" collapsed="false">
      <c r="B18" s="28" t="s">
        <v>96</v>
      </c>
    </row>
  </sheetData>
  <mergeCells count="7">
    <mergeCell ref="A1:G1"/>
    <mergeCell ref="B2:G2"/>
    <mergeCell ref="C12:D12"/>
    <mergeCell ref="C13:D13"/>
    <mergeCell ref="C14:D14"/>
    <mergeCell ref="C15:D15"/>
    <mergeCell ref="C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40"/>
    <col collapsed="false" customWidth="true" hidden="false" outlineLevel="0" max="5" min="5" style="0" width="18"/>
    <col collapsed="false" customWidth="true" hidden="false" outlineLevel="0" max="6" min="6" style="0" width="16"/>
    <col collapsed="false" customWidth="true" hidden="false" outlineLevel="0" max="7" min="7" style="0" width="34"/>
  </cols>
  <sheetData>
    <row r="1" customFormat="false" ht="25.5" hidden="false" customHeight="true" outlineLevel="0" collapsed="false">
      <c r="A1" s="1" t="s">
        <v>97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B2" s="21" t="s">
        <v>98</v>
      </c>
      <c r="C2" s="21"/>
      <c r="D2" s="21"/>
      <c r="E2" s="21"/>
      <c r="F2" s="21"/>
      <c r="G2" s="21"/>
    </row>
    <row r="4" customFormat="false" ht="31.5" hidden="false" customHeight="true" outlineLevel="0" collapsed="false">
      <c r="B4" s="10" t="s">
        <v>99</v>
      </c>
      <c r="C4" s="10" t="s">
        <v>100</v>
      </c>
      <c r="D4" s="10" t="s">
        <v>101</v>
      </c>
      <c r="E4" s="10" t="s">
        <v>102</v>
      </c>
      <c r="F4" s="10" t="s">
        <v>103</v>
      </c>
      <c r="G4" s="10" t="s">
        <v>104</v>
      </c>
    </row>
    <row r="5" customFormat="false" ht="39.75" hidden="false" customHeight="true" outlineLevel="0" collapsed="false">
      <c r="B5" s="29" t="s">
        <v>105</v>
      </c>
      <c r="C5" s="13" t="s">
        <v>106</v>
      </c>
      <c r="D5" s="13" t="s">
        <v>107</v>
      </c>
      <c r="E5" s="13" t="s">
        <v>108</v>
      </c>
      <c r="F5" s="15" t="s">
        <v>109</v>
      </c>
      <c r="G5" s="15" t="s">
        <v>110</v>
      </c>
    </row>
    <row r="6" customFormat="false" ht="57.75" hidden="false" customHeight="true" outlineLevel="0" collapsed="false">
      <c r="B6" s="23" t="s">
        <v>111</v>
      </c>
      <c r="C6" s="27"/>
      <c r="D6" s="27"/>
      <c r="E6" s="27"/>
      <c r="F6" s="27"/>
      <c r="G6" s="27"/>
    </row>
    <row r="7" customFormat="false" ht="57.75" hidden="false" customHeight="true" outlineLevel="0" collapsed="false">
      <c r="B7" s="23" t="s">
        <v>112</v>
      </c>
      <c r="C7" s="27"/>
      <c r="D7" s="27"/>
      <c r="E7" s="27"/>
      <c r="F7" s="27"/>
      <c r="G7" s="27"/>
    </row>
    <row r="8" customFormat="false" ht="57.75" hidden="false" customHeight="true" outlineLevel="0" collapsed="false">
      <c r="B8" s="23" t="s">
        <v>113</v>
      </c>
      <c r="C8" s="27"/>
      <c r="D8" s="27"/>
      <c r="E8" s="27"/>
      <c r="F8" s="27"/>
      <c r="G8" s="27"/>
    </row>
    <row r="9" customFormat="false" ht="57.75" hidden="false" customHeight="true" outlineLevel="0" collapsed="false">
      <c r="B9" s="23" t="s">
        <v>114</v>
      </c>
      <c r="C9" s="27"/>
      <c r="D9" s="27"/>
      <c r="E9" s="27"/>
      <c r="F9" s="27"/>
      <c r="G9" s="27"/>
    </row>
    <row r="11" customFormat="false" ht="17.15" hidden="false" customHeight="false" outlineLevel="0" collapsed="false">
      <c r="B11" s="2" t="s">
        <v>115</v>
      </c>
    </row>
    <row r="12" customFormat="false" ht="15" hidden="false" customHeight="false" outlineLevel="0" collapsed="false">
      <c r="B12" s="30" t="s">
        <v>116</v>
      </c>
      <c r="C12" s="30"/>
      <c r="D12" s="30"/>
      <c r="E12" s="30"/>
      <c r="F12" s="30"/>
      <c r="G12" s="30"/>
    </row>
    <row r="13" customFormat="false" ht="15" hidden="false" customHeight="false" outlineLevel="0" collapsed="false">
      <c r="B13" s="30" t="s">
        <v>117</v>
      </c>
      <c r="C13" s="30"/>
      <c r="D13" s="30"/>
      <c r="E13" s="30"/>
      <c r="F13" s="30"/>
      <c r="G13" s="30"/>
    </row>
    <row r="14" customFormat="false" ht="15" hidden="false" customHeight="false" outlineLevel="0" collapsed="false">
      <c r="B14" s="30" t="s">
        <v>118</v>
      </c>
      <c r="C14" s="30"/>
      <c r="D14" s="30"/>
      <c r="E14" s="30"/>
      <c r="F14" s="30"/>
      <c r="G14" s="30"/>
    </row>
    <row r="15" customFormat="false" ht="15" hidden="false" customHeight="false" outlineLevel="0" collapsed="false">
      <c r="B15" s="30" t="s">
        <v>119</v>
      </c>
      <c r="C15" s="30"/>
      <c r="D15" s="30"/>
      <c r="E15" s="30"/>
      <c r="F15" s="30"/>
      <c r="G15" s="30"/>
    </row>
  </sheetData>
  <mergeCells count="6">
    <mergeCell ref="A1:G1"/>
    <mergeCell ref="B2:G2"/>
    <mergeCell ref="B12:G12"/>
    <mergeCell ref="B13:G13"/>
    <mergeCell ref="B14:G14"/>
    <mergeCell ref="B15:G1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8"/>
    <col collapsed="false" customWidth="true" hidden="false" outlineLevel="0" max="3" min="3" style="0" width="26"/>
    <col collapsed="false" customWidth="true" hidden="false" outlineLevel="0" max="4" min="4" style="0" width="24"/>
    <col collapsed="false" customWidth="true" hidden="false" outlineLevel="0" max="5" min="5" style="0" width="20"/>
    <col collapsed="false" customWidth="true" hidden="false" outlineLevel="0" max="6" min="6" style="0" width="16"/>
  </cols>
  <sheetData>
    <row r="1" customFormat="false" ht="25.5" hidden="false" customHeight="true" outlineLevel="0" collapsed="false">
      <c r="A1" s="1" t="s">
        <v>120</v>
      </c>
      <c r="B1" s="1"/>
      <c r="C1" s="1"/>
      <c r="D1" s="1"/>
      <c r="E1" s="1"/>
      <c r="F1" s="1"/>
    </row>
    <row r="2" customFormat="false" ht="15" hidden="false" customHeight="false" outlineLevel="0" collapsed="false">
      <c r="B2" s="21" t="s">
        <v>121</v>
      </c>
      <c r="C2" s="21"/>
      <c r="D2" s="21"/>
      <c r="E2" s="21"/>
      <c r="F2" s="21"/>
    </row>
    <row r="4" customFormat="false" ht="31.5" hidden="false" customHeight="true" outlineLevel="0" collapsed="false">
      <c r="B4" s="10" t="s">
        <v>122</v>
      </c>
      <c r="C4" s="10" t="s">
        <v>123</v>
      </c>
      <c r="D4" s="10" t="s">
        <v>124</v>
      </c>
      <c r="E4" s="10" t="s">
        <v>125</v>
      </c>
      <c r="F4" s="10" t="s">
        <v>126</v>
      </c>
    </row>
    <row r="5" customFormat="false" ht="31.5" hidden="false" customHeight="true" outlineLevel="0" collapsed="false">
      <c r="B5" s="12" t="s">
        <v>127</v>
      </c>
      <c r="C5" s="13" t="s">
        <v>128</v>
      </c>
      <c r="D5" s="13" t="s">
        <v>129</v>
      </c>
      <c r="E5" s="13" t="s">
        <v>130</v>
      </c>
      <c r="F5" s="13" t="s">
        <v>131</v>
      </c>
    </row>
    <row r="6" customFormat="false" ht="30" hidden="false" customHeight="true" outlineLevel="0" collapsed="false">
      <c r="B6" s="16"/>
      <c r="C6" s="16"/>
      <c r="D6" s="16"/>
      <c r="E6" s="16"/>
      <c r="F6" s="16"/>
    </row>
    <row r="7" customFormat="false" ht="30" hidden="false" customHeight="true" outlineLevel="0" collapsed="false">
      <c r="B7" s="16"/>
      <c r="C7" s="16"/>
      <c r="D7" s="16"/>
      <c r="E7" s="16"/>
      <c r="F7" s="16"/>
    </row>
    <row r="8" customFormat="false" ht="30" hidden="false" customHeight="true" outlineLevel="0" collapsed="false">
      <c r="B8" s="16"/>
      <c r="C8" s="16"/>
      <c r="D8" s="16"/>
      <c r="E8" s="16"/>
      <c r="F8" s="16"/>
    </row>
    <row r="9" customFormat="false" ht="30" hidden="false" customHeight="true" outlineLevel="0" collapsed="false">
      <c r="B9" s="16"/>
      <c r="C9" s="16"/>
      <c r="D9" s="16"/>
      <c r="E9" s="16"/>
      <c r="F9" s="16"/>
    </row>
    <row r="10" customFormat="false" ht="30" hidden="false" customHeight="true" outlineLevel="0" collapsed="false">
      <c r="B10" s="16"/>
      <c r="C10" s="16"/>
      <c r="D10" s="16"/>
      <c r="E10" s="16"/>
      <c r="F10" s="16"/>
    </row>
    <row r="11" customFormat="false" ht="30" hidden="false" customHeight="true" outlineLevel="0" collapsed="false">
      <c r="B11" s="16"/>
      <c r="C11" s="16"/>
      <c r="D11" s="16"/>
      <c r="E11" s="16"/>
      <c r="F11" s="16"/>
    </row>
    <row r="12" customFormat="false" ht="30" hidden="false" customHeight="true" outlineLevel="0" collapsed="false">
      <c r="B12" s="16"/>
      <c r="C12" s="16"/>
      <c r="D12" s="16"/>
      <c r="E12" s="16"/>
      <c r="F12" s="16"/>
    </row>
    <row r="13" customFormat="false" ht="30" hidden="false" customHeight="true" outlineLevel="0" collapsed="false">
      <c r="B13" s="16"/>
      <c r="C13" s="16"/>
      <c r="D13" s="16"/>
      <c r="E13" s="16"/>
      <c r="F13" s="16"/>
    </row>
    <row r="14" customFormat="false" ht="30" hidden="false" customHeight="true" outlineLevel="0" collapsed="false">
      <c r="B14" s="16"/>
      <c r="C14" s="16"/>
      <c r="D14" s="16"/>
      <c r="E14" s="16"/>
      <c r="F14" s="16"/>
    </row>
    <row r="15" customFormat="false" ht="30" hidden="false" customHeight="true" outlineLevel="0" collapsed="false">
      <c r="B15" s="16"/>
      <c r="C15" s="16"/>
      <c r="D15" s="16"/>
      <c r="E15" s="16"/>
      <c r="F15" s="16"/>
    </row>
    <row r="16" customFormat="false" ht="30" hidden="false" customHeight="true" outlineLevel="0" collapsed="false">
      <c r="B16" s="16"/>
      <c r="C16" s="16"/>
      <c r="D16" s="16"/>
      <c r="E16" s="16"/>
      <c r="F16" s="16"/>
    </row>
    <row r="17" customFormat="false" ht="30" hidden="false" customHeight="true" outlineLevel="0" collapsed="false">
      <c r="B17" s="16"/>
      <c r="C17" s="16"/>
      <c r="D17" s="16"/>
      <c r="E17" s="16"/>
      <c r="F17" s="16"/>
    </row>
    <row r="18" customFormat="false" ht="30" hidden="false" customHeight="true" outlineLevel="0" collapsed="false">
      <c r="B18" s="16"/>
      <c r="C18" s="16"/>
      <c r="D18" s="16"/>
      <c r="E18" s="16"/>
      <c r="F18" s="16"/>
    </row>
    <row r="19" customFormat="false" ht="30" hidden="false" customHeight="true" outlineLevel="0" collapsed="false">
      <c r="B19" s="16"/>
      <c r="C19" s="16"/>
      <c r="D19" s="16"/>
      <c r="E19" s="16"/>
      <c r="F19" s="16"/>
    </row>
    <row r="20" customFormat="false" ht="30" hidden="false" customHeight="true" outlineLevel="0" collapsed="false">
      <c r="B20" s="16"/>
      <c r="C20" s="16"/>
      <c r="D20" s="16"/>
      <c r="E20" s="16"/>
      <c r="F20" s="16"/>
    </row>
    <row r="21" customFormat="false" ht="30" hidden="false" customHeight="true" outlineLevel="0" collapsed="false">
      <c r="B21" s="16"/>
      <c r="C21" s="16"/>
      <c r="D21" s="16"/>
      <c r="E21" s="16"/>
      <c r="F21" s="16"/>
    </row>
    <row r="22" customFormat="false" ht="30" hidden="false" customHeight="true" outlineLevel="0" collapsed="false">
      <c r="B22" s="16"/>
      <c r="C22" s="16"/>
      <c r="D22" s="16"/>
      <c r="E22" s="16"/>
      <c r="F22" s="16"/>
    </row>
    <row r="23" customFormat="false" ht="30" hidden="false" customHeight="true" outlineLevel="0" collapsed="false">
      <c r="B23" s="16"/>
      <c r="C23" s="16"/>
      <c r="D23" s="16"/>
      <c r="E23" s="16"/>
      <c r="F23" s="16"/>
    </row>
    <row r="24" customFormat="false" ht="30" hidden="false" customHeight="true" outlineLevel="0" collapsed="false">
      <c r="B24" s="16"/>
      <c r="C24" s="16"/>
      <c r="D24" s="16"/>
      <c r="E24" s="16"/>
      <c r="F24" s="16"/>
    </row>
    <row r="25" customFormat="false" ht="30" hidden="false" customHeight="true" outlineLevel="0" collapsed="false">
      <c r="B25" s="16"/>
      <c r="C25" s="16"/>
      <c r="D25" s="16"/>
      <c r="E25" s="16"/>
      <c r="F25" s="16"/>
    </row>
    <row r="28" customFormat="false" ht="15" hidden="false" customHeight="false" outlineLevel="0" collapsed="false">
      <c r="B28" s="31" t="s">
        <v>132</v>
      </c>
    </row>
  </sheetData>
  <mergeCells count="2">
    <mergeCell ref="A1:F1"/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5" min="4" style="0" width="26"/>
    <col collapsed="false" customWidth="true" hidden="false" outlineLevel="0" max="6" min="6" style="0" width="16"/>
    <col collapsed="false" customWidth="true" hidden="false" outlineLevel="0" max="7" min="7" style="0" width="30"/>
  </cols>
  <sheetData>
    <row r="1" customFormat="false" ht="25.5" hidden="false" customHeight="true" outlineLevel="0" collapsed="false">
      <c r="A1" s="1" t="s">
        <v>133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B2" s="21" t="s">
        <v>134</v>
      </c>
      <c r="C2" s="21"/>
      <c r="D2" s="21"/>
      <c r="E2" s="21"/>
      <c r="F2" s="21"/>
      <c r="G2" s="21"/>
    </row>
    <row r="4" customFormat="false" ht="15" hidden="false" customHeight="false" outlineLevel="0" collapsed="false">
      <c r="B4" s="32" t="s">
        <v>135</v>
      </c>
      <c r="C4" s="33"/>
      <c r="D4" s="33"/>
      <c r="E4" s="33"/>
      <c r="F4" s="33"/>
      <c r="G4" s="33"/>
    </row>
    <row r="5" customFormat="false" ht="29.85" hidden="false" customHeight="false" outlineLevel="0" collapsed="false">
      <c r="B5" s="32" t="s">
        <v>136</v>
      </c>
      <c r="C5" s="33"/>
      <c r="D5" s="33"/>
      <c r="E5" s="33"/>
      <c r="F5" s="33"/>
      <c r="G5" s="33"/>
    </row>
    <row r="7" customFormat="false" ht="31.5" hidden="false" customHeight="true" outlineLevel="0" collapsed="false">
      <c r="B7" s="10" t="s">
        <v>137</v>
      </c>
      <c r="C7" s="10" t="s">
        <v>101</v>
      </c>
      <c r="D7" s="10" t="s">
        <v>138</v>
      </c>
      <c r="E7" s="10" t="s">
        <v>139</v>
      </c>
      <c r="F7" s="10" t="s">
        <v>140</v>
      </c>
      <c r="G7" s="10" t="s">
        <v>141</v>
      </c>
    </row>
    <row r="8" customFormat="false" ht="31.5" hidden="false" customHeight="true" outlineLevel="0" collapsed="false">
      <c r="B8" s="12" t="s">
        <v>142</v>
      </c>
      <c r="C8" s="13" t="s">
        <v>143</v>
      </c>
      <c r="D8" s="13" t="s">
        <v>144</v>
      </c>
      <c r="E8" s="13" t="s">
        <v>145</v>
      </c>
      <c r="F8" s="13" t="s">
        <v>146</v>
      </c>
      <c r="G8" s="13" t="s">
        <v>147</v>
      </c>
    </row>
    <row r="9" customFormat="false" ht="33.75" hidden="false" customHeight="true" outlineLevel="0" collapsed="false">
      <c r="B9" s="32" t="s">
        <v>148</v>
      </c>
      <c r="C9" s="27"/>
      <c r="D9" s="27"/>
      <c r="E9" s="27"/>
      <c r="F9" s="27"/>
      <c r="G9" s="27"/>
    </row>
    <row r="10" customFormat="false" ht="33.75" hidden="false" customHeight="true" outlineLevel="0" collapsed="false">
      <c r="B10" s="32" t="s">
        <v>149</v>
      </c>
      <c r="C10" s="27"/>
      <c r="D10" s="27"/>
      <c r="E10" s="27"/>
      <c r="F10" s="27"/>
      <c r="G10" s="27"/>
    </row>
    <row r="11" customFormat="false" ht="33.75" hidden="false" customHeight="true" outlineLevel="0" collapsed="false">
      <c r="B11" s="32" t="s">
        <v>150</v>
      </c>
      <c r="C11" s="27"/>
      <c r="D11" s="27"/>
      <c r="E11" s="27"/>
      <c r="F11" s="27"/>
      <c r="G11" s="27"/>
    </row>
    <row r="12" customFormat="false" ht="33.75" hidden="false" customHeight="true" outlineLevel="0" collapsed="false">
      <c r="B12" s="32" t="s">
        <v>151</v>
      </c>
      <c r="C12" s="27"/>
      <c r="D12" s="27"/>
      <c r="E12" s="27"/>
      <c r="F12" s="27"/>
      <c r="G12" s="27"/>
    </row>
    <row r="13" customFormat="false" ht="33.75" hidden="false" customHeight="true" outlineLevel="0" collapsed="false">
      <c r="B13" s="32" t="s">
        <v>152</v>
      </c>
      <c r="C13" s="27"/>
      <c r="D13" s="27"/>
      <c r="E13" s="27"/>
      <c r="F13" s="27"/>
      <c r="G13" s="27"/>
    </row>
    <row r="14" customFormat="false" ht="33.75" hidden="false" customHeight="true" outlineLevel="0" collapsed="false">
      <c r="B14" s="32" t="s">
        <v>153</v>
      </c>
      <c r="C14" s="27"/>
      <c r="D14" s="27"/>
      <c r="E14" s="27"/>
      <c r="F14" s="27"/>
      <c r="G14" s="27"/>
    </row>
    <row r="16" customFormat="false" ht="30" hidden="false" customHeight="true" outlineLevel="0" collapsed="false">
      <c r="B16" s="32" t="s">
        <v>154</v>
      </c>
      <c r="C16" s="33"/>
      <c r="D16" s="33"/>
      <c r="E16" s="33"/>
      <c r="F16" s="33"/>
      <c r="G16" s="33"/>
    </row>
    <row r="17" customFormat="false" ht="30" hidden="false" customHeight="true" outlineLevel="0" collapsed="false">
      <c r="B17" s="32" t="s">
        <v>104</v>
      </c>
      <c r="C17" s="33"/>
      <c r="D17" s="33"/>
      <c r="E17" s="33"/>
      <c r="F17" s="33"/>
      <c r="G17" s="33"/>
    </row>
    <row r="19" customFormat="false" ht="15" hidden="false" customHeight="false" outlineLevel="0" collapsed="false">
      <c r="B19" s="34" t="s">
        <v>155</v>
      </c>
    </row>
  </sheetData>
  <mergeCells count="6">
    <mergeCell ref="A1:G1"/>
    <mergeCell ref="B2:G2"/>
    <mergeCell ref="C4:G4"/>
    <mergeCell ref="C5:G5"/>
    <mergeCell ref="C16:G16"/>
    <mergeCell ref="C17:G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4" min="3" style="0" width="34"/>
    <col collapsed="false" customWidth="true" hidden="false" outlineLevel="0" max="5" min="5" style="0" width="30"/>
    <col collapsed="false" customWidth="true" hidden="false" outlineLevel="0" max="6" min="6" style="0" width="12"/>
    <col collapsed="false" customWidth="true" hidden="false" outlineLevel="0" max="7" min="7" style="0" width="28"/>
  </cols>
  <sheetData>
    <row r="1" customFormat="false" ht="25.5" hidden="false" customHeight="true" outlineLevel="0" collapsed="false">
      <c r="A1" s="1" t="s">
        <v>156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B2" s="21" t="s">
        <v>157</v>
      </c>
      <c r="C2" s="21"/>
      <c r="D2" s="21"/>
      <c r="E2" s="21"/>
      <c r="F2" s="21"/>
      <c r="G2" s="21"/>
    </row>
    <row r="4" customFormat="false" ht="31.5" hidden="false" customHeight="true" outlineLevel="0" collapsed="false">
      <c r="B4" s="11" t="s">
        <v>60</v>
      </c>
      <c r="C4" s="10" t="s">
        <v>158</v>
      </c>
      <c r="D4" s="10" t="s">
        <v>159</v>
      </c>
      <c r="E4" s="10" t="s">
        <v>160</v>
      </c>
      <c r="F4" s="10" t="s">
        <v>161</v>
      </c>
      <c r="G4" s="10" t="s">
        <v>162</v>
      </c>
    </row>
    <row r="5" customFormat="false" ht="39.75" hidden="false" customHeight="true" outlineLevel="0" collapsed="false">
      <c r="B5" s="12" t="n">
        <v>1</v>
      </c>
      <c r="C5" s="15" t="s">
        <v>163</v>
      </c>
      <c r="D5" s="13" t="s">
        <v>164</v>
      </c>
      <c r="E5" s="13" t="s">
        <v>165</v>
      </c>
      <c r="F5" s="15" t="s">
        <v>166</v>
      </c>
      <c r="G5" s="13" t="s">
        <v>167</v>
      </c>
    </row>
    <row r="6" customFormat="false" ht="33.75" hidden="false" customHeight="true" outlineLevel="0" collapsed="false">
      <c r="B6" s="22" t="n">
        <v>1</v>
      </c>
      <c r="C6" s="16"/>
      <c r="D6" s="16"/>
      <c r="E6" s="16"/>
      <c r="F6" s="16"/>
      <c r="G6" s="16"/>
    </row>
    <row r="7" customFormat="false" ht="33.75" hidden="false" customHeight="true" outlineLevel="0" collapsed="false">
      <c r="B7" s="22" t="n">
        <v>2</v>
      </c>
      <c r="C7" s="16"/>
      <c r="D7" s="16"/>
      <c r="E7" s="16"/>
      <c r="F7" s="16"/>
      <c r="G7" s="16"/>
    </row>
    <row r="8" customFormat="false" ht="33.75" hidden="false" customHeight="true" outlineLevel="0" collapsed="false">
      <c r="B8" s="22" t="n">
        <v>3</v>
      </c>
      <c r="C8" s="16"/>
      <c r="D8" s="16"/>
      <c r="E8" s="16"/>
      <c r="F8" s="16"/>
      <c r="G8" s="16"/>
    </row>
    <row r="9" customFormat="false" ht="33.75" hidden="false" customHeight="true" outlineLevel="0" collapsed="false">
      <c r="B9" s="22" t="n">
        <v>4</v>
      </c>
      <c r="C9" s="16"/>
      <c r="D9" s="16"/>
      <c r="E9" s="16"/>
      <c r="F9" s="16"/>
      <c r="G9" s="16"/>
    </row>
    <row r="10" customFormat="false" ht="33.75" hidden="false" customHeight="true" outlineLevel="0" collapsed="false">
      <c r="B10" s="22" t="n">
        <v>5</v>
      </c>
      <c r="C10" s="16"/>
      <c r="D10" s="16"/>
      <c r="E10" s="16"/>
      <c r="F10" s="16"/>
      <c r="G10" s="16"/>
    </row>
    <row r="11" customFormat="false" ht="33.75" hidden="false" customHeight="true" outlineLevel="0" collapsed="false">
      <c r="B11" s="22" t="n">
        <v>6</v>
      </c>
      <c r="C11" s="16"/>
      <c r="D11" s="16"/>
      <c r="E11" s="16"/>
      <c r="F11" s="16"/>
      <c r="G11" s="16"/>
    </row>
    <row r="12" customFormat="false" ht="33.75" hidden="false" customHeight="true" outlineLevel="0" collapsed="false">
      <c r="B12" s="22" t="n">
        <v>7</v>
      </c>
      <c r="C12" s="16"/>
      <c r="D12" s="16"/>
      <c r="E12" s="16"/>
      <c r="F12" s="16"/>
      <c r="G12" s="16"/>
    </row>
    <row r="13" customFormat="false" ht="33.75" hidden="false" customHeight="true" outlineLevel="0" collapsed="false">
      <c r="B13" s="22" t="n">
        <v>8</v>
      </c>
      <c r="C13" s="16"/>
      <c r="D13" s="16"/>
      <c r="E13" s="16"/>
      <c r="F13" s="16"/>
      <c r="G13" s="16"/>
    </row>
    <row r="14" customFormat="false" ht="33.75" hidden="false" customHeight="true" outlineLevel="0" collapsed="false">
      <c r="B14" s="22" t="n">
        <v>9</v>
      </c>
      <c r="C14" s="16"/>
      <c r="D14" s="16"/>
      <c r="E14" s="16"/>
      <c r="F14" s="16"/>
      <c r="G14" s="16"/>
    </row>
    <row r="15" customFormat="false" ht="33.75" hidden="false" customHeight="true" outlineLevel="0" collapsed="false">
      <c r="B15" s="22" t="n">
        <v>10</v>
      </c>
      <c r="C15" s="16"/>
      <c r="D15" s="16"/>
      <c r="E15" s="16"/>
      <c r="F15" s="16"/>
      <c r="G15" s="16"/>
    </row>
    <row r="17" customFormat="false" ht="15" hidden="false" customHeight="false" outlineLevel="0" collapsed="false">
      <c r="B17" s="18" t="s">
        <v>168</v>
      </c>
      <c r="F17" s="35" t="n">
        <f aca="false">COUNTIF(F6:F15,"○")</f>
        <v>0</v>
      </c>
    </row>
    <row r="18" customFormat="false" ht="15" hidden="false" customHeight="false" outlineLevel="0" collapsed="false">
      <c r="B18" s="36" t="s">
        <v>169</v>
      </c>
      <c r="F18" s="37" t="n">
        <f aca="false">COUNTIF(F6:F15,"×")</f>
        <v>0</v>
      </c>
    </row>
    <row r="20" customFormat="false" ht="15" hidden="false" customHeight="false" outlineLevel="0" collapsed="false">
      <c r="B20" s="38" t="s">
        <v>170</v>
      </c>
    </row>
    <row r="21" customFormat="false" ht="15" hidden="false" customHeight="false" outlineLevel="0" collapsed="false">
      <c r="B21" s="39" t="s">
        <v>171</v>
      </c>
    </row>
  </sheetData>
  <mergeCells count="2">
    <mergeCell ref="A1:G1"/>
    <mergeCell ref="B2:G2"/>
  </mergeCells>
  <dataValidations count="1">
    <dataValidation allowBlank="true" errorStyle="stop" operator="between" showDropDown="false" showErrorMessage="false" showInputMessage="false" sqref="F6:F15" type="list">
      <formula1>"○,△,×"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7" min="4" style="0" width="12"/>
    <col collapsed="false" customWidth="true" hidden="false" outlineLevel="0" max="8" min="8" style="0" width="46"/>
  </cols>
  <sheetData>
    <row r="1" customFormat="false" ht="25.5" hidden="false" customHeight="true" outlineLevel="0" collapsed="false">
      <c r="A1" s="1" t="s">
        <v>172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B2" s="21" t="s">
        <v>173</v>
      </c>
      <c r="C2" s="21"/>
      <c r="D2" s="21"/>
      <c r="E2" s="21"/>
      <c r="F2" s="21"/>
      <c r="G2" s="21"/>
    </row>
    <row r="4" customFormat="false" ht="31.5" hidden="false" customHeight="true" outlineLevel="0" collapsed="false">
      <c r="B4" s="10" t="s">
        <v>174</v>
      </c>
      <c r="C4" s="10" t="s">
        <v>175</v>
      </c>
      <c r="D4" s="10" t="s">
        <v>176</v>
      </c>
      <c r="E4" s="10" t="s">
        <v>177</v>
      </c>
      <c r="F4" s="11" t="s">
        <v>178</v>
      </c>
      <c r="G4" s="10" t="s">
        <v>179</v>
      </c>
      <c r="H4" s="10" t="s">
        <v>180</v>
      </c>
    </row>
    <row r="5" customFormat="false" ht="30" hidden="false" customHeight="true" outlineLevel="0" collapsed="false">
      <c r="B5" s="29" t="s">
        <v>181</v>
      </c>
      <c r="C5" s="13" t="s">
        <v>182</v>
      </c>
      <c r="D5" s="13" t="n">
        <v>8</v>
      </c>
      <c r="E5" s="13" t="n">
        <v>2</v>
      </c>
      <c r="F5" s="13" t="n">
        <v>0</v>
      </c>
      <c r="G5" s="15" t="s">
        <v>183</v>
      </c>
      <c r="H5" s="13" t="s">
        <v>184</v>
      </c>
    </row>
    <row r="6" customFormat="false" ht="27.75" hidden="false" customHeight="true" outlineLevel="0" collapsed="false">
      <c r="B6" s="16"/>
      <c r="C6" s="16"/>
      <c r="D6" s="16"/>
      <c r="E6" s="16"/>
      <c r="F6" s="16"/>
      <c r="G6" s="16"/>
    </row>
    <row r="7" customFormat="false" ht="27.75" hidden="false" customHeight="true" outlineLevel="0" collapsed="false">
      <c r="B7" s="16"/>
      <c r="C7" s="16"/>
      <c r="D7" s="16"/>
      <c r="E7" s="16"/>
      <c r="F7" s="16"/>
      <c r="G7" s="16" t="str">
        <f aca="false">IF(COUNT(D7,D6)=2,D7-D6,"")</f>
        <v/>
      </c>
    </row>
    <row r="8" customFormat="false" ht="27.75" hidden="false" customHeight="true" outlineLevel="0" collapsed="false">
      <c r="B8" s="16"/>
      <c r="C8" s="16"/>
      <c r="D8" s="16"/>
      <c r="E8" s="16"/>
      <c r="F8" s="16"/>
      <c r="G8" s="16" t="str">
        <f aca="false">IF(COUNT(D8,D7)=2,D8-D7,"")</f>
        <v/>
      </c>
    </row>
    <row r="9" customFormat="false" ht="27.75" hidden="false" customHeight="true" outlineLevel="0" collapsed="false">
      <c r="B9" s="16"/>
      <c r="C9" s="16"/>
      <c r="D9" s="16"/>
      <c r="E9" s="16"/>
      <c r="F9" s="16"/>
      <c r="G9" s="16" t="str">
        <f aca="false">IF(COUNT(D9,D8)=2,D9-D8,"")</f>
        <v/>
      </c>
    </row>
    <row r="10" customFormat="false" ht="27.75" hidden="false" customHeight="true" outlineLevel="0" collapsed="false">
      <c r="B10" s="16"/>
      <c r="C10" s="16"/>
      <c r="D10" s="16"/>
      <c r="E10" s="16"/>
      <c r="F10" s="16"/>
      <c r="G10" s="16" t="str">
        <f aca="false">IF(COUNT(D10,D9)=2,D10-D9,"")</f>
        <v/>
      </c>
    </row>
    <row r="11" customFormat="false" ht="27.75" hidden="false" customHeight="true" outlineLevel="0" collapsed="false">
      <c r="B11" s="16"/>
      <c r="C11" s="16"/>
      <c r="D11" s="16"/>
      <c r="E11" s="16"/>
      <c r="F11" s="16"/>
      <c r="G11" s="16" t="str">
        <f aca="false">IF(COUNT(D11,D10)=2,D11-D10,"")</f>
        <v/>
      </c>
    </row>
    <row r="12" customFormat="false" ht="27.75" hidden="false" customHeight="true" outlineLevel="0" collapsed="false">
      <c r="B12" s="16"/>
      <c r="C12" s="16"/>
      <c r="D12" s="16"/>
      <c r="E12" s="16"/>
      <c r="F12" s="16"/>
      <c r="G12" s="16" t="str">
        <f aca="false">IF(COUNT(D12,D11)=2,D12-D11,"")</f>
        <v/>
      </c>
    </row>
    <row r="13" customFormat="false" ht="27.75" hidden="false" customHeight="true" outlineLevel="0" collapsed="false">
      <c r="B13" s="16"/>
      <c r="C13" s="16"/>
      <c r="D13" s="16"/>
      <c r="E13" s="16"/>
      <c r="F13" s="16"/>
      <c r="G13" s="16" t="str">
        <f aca="false">IF(COUNT(D13,D12)=2,D13-D12,"")</f>
        <v/>
      </c>
    </row>
    <row r="14" customFormat="false" ht="27.75" hidden="false" customHeight="true" outlineLevel="0" collapsed="false">
      <c r="B14" s="16"/>
      <c r="C14" s="16"/>
      <c r="D14" s="16"/>
      <c r="E14" s="16"/>
      <c r="F14" s="16"/>
      <c r="G14" s="16" t="str">
        <f aca="false">IF(COUNT(D14,D13)=2,D14-D13,"")</f>
        <v/>
      </c>
    </row>
    <row r="15" customFormat="false" ht="27.75" hidden="false" customHeight="true" outlineLevel="0" collapsed="false">
      <c r="B15" s="16"/>
      <c r="C15" s="16"/>
      <c r="D15" s="16"/>
      <c r="E15" s="16"/>
      <c r="F15" s="16"/>
      <c r="G15" s="16" t="str">
        <f aca="false">IF(COUNT(D15,D14)=2,D15-D14,"")</f>
        <v/>
      </c>
    </row>
    <row r="16" customFormat="false" ht="27.75" hidden="false" customHeight="true" outlineLevel="0" collapsed="false">
      <c r="B16" s="16"/>
      <c r="C16" s="16"/>
      <c r="D16" s="16"/>
      <c r="E16" s="16"/>
      <c r="F16" s="16"/>
      <c r="G16" s="16" t="str">
        <f aca="false">IF(COUNT(D16,D15)=2,D16-D15,"")</f>
        <v/>
      </c>
    </row>
    <row r="17" customFormat="false" ht="27.75" hidden="false" customHeight="true" outlineLevel="0" collapsed="false">
      <c r="B17" s="16"/>
      <c r="C17" s="16"/>
      <c r="D17" s="16"/>
      <c r="E17" s="16"/>
      <c r="F17" s="16"/>
      <c r="G17" s="16" t="str">
        <f aca="false">IF(COUNT(D17,D16)=2,D17-D16,"")</f>
        <v/>
      </c>
    </row>
    <row r="18" customFormat="false" ht="27.75" hidden="false" customHeight="true" outlineLevel="0" collapsed="false">
      <c r="B18" s="16"/>
      <c r="C18" s="16"/>
      <c r="D18" s="16"/>
      <c r="E18" s="16"/>
      <c r="F18" s="16"/>
      <c r="G18" s="16" t="str">
        <f aca="false">IF(COUNT(D18,D17)=2,D18-D17,"")</f>
        <v/>
      </c>
    </row>
    <row r="19" customFormat="false" ht="27.75" hidden="false" customHeight="true" outlineLevel="0" collapsed="false">
      <c r="B19" s="16"/>
      <c r="C19" s="16"/>
      <c r="D19" s="16"/>
      <c r="E19" s="16"/>
      <c r="F19" s="16"/>
      <c r="G19" s="16" t="str">
        <f aca="false">IF(COUNT(D19,D18)=2,D19-D18,"")</f>
        <v/>
      </c>
    </row>
    <row r="21" customFormat="false" ht="15" hidden="false" customHeight="false" outlineLevel="0" collapsed="false">
      <c r="B21" s="34" t="s">
        <v>185</v>
      </c>
    </row>
  </sheetData>
  <mergeCells count="2">
    <mergeCell ref="A1:G1"/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4"/>
    <col collapsed="false" customWidth="true" hidden="false" outlineLevel="0" max="3" min="3" style="0" width="20"/>
    <col collapsed="false" customWidth="true" hidden="false" outlineLevel="0" max="5" min="4" style="0" width="14"/>
    <col collapsed="false" customWidth="true" hidden="false" outlineLevel="0" max="6" min="6" style="0" width="18"/>
    <col collapsed="false" customWidth="true" hidden="false" outlineLevel="0" max="7" min="7" style="0" width="34"/>
    <col collapsed="false" customWidth="true" hidden="false" outlineLevel="0" max="8" min="8" style="0" width="12"/>
  </cols>
  <sheetData>
    <row r="1" customFormat="false" ht="25.5" hidden="false" customHeight="true" outlineLevel="0" collapsed="false">
      <c r="A1" s="1" t="s">
        <v>186</v>
      </c>
      <c r="B1" s="1"/>
      <c r="C1" s="1"/>
      <c r="D1" s="1"/>
      <c r="E1" s="1"/>
      <c r="F1" s="1"/>
      <c r="G1" s="1"/>
      <c r="H1" s="1"/>
    </row>
    <row r="2" customFormat="false" ht="15" hidden="false" customHeight="false" outlineLevel="0" collapsed="false">
      <c r="B2" s="21" t="s">
        <v>187</v>
      </c>
      <c r="C2" s="21"/>
      <c r="D2" s="21"/>
      <c r="E2" s="21"/>
      <c r="F2" s="21"/>
      <c r="G2" s="21"/>
      <c r="H2" s="21"/>
    </row>
    <row r="4" customFormat="false" ht="31.5" hidden="false" customHeight="true" outlineLevel="0" collapsed="false">
      <c r="B4" s="10" t="s">
        <v>188</v>
      </c>
      <c r="C4" s="10" t="s">
        <v>189</v>
      </c>
      <c r="D4" s="10" t="s">
        <v>190</v>
      </c>
      <c r="E4" s="10" t="s">
        <v>191</v>
      </c>
      <c r="F4" s="10" t="s">
        <v>192</v>
      </c>
      <c r="G4" s="10" t="s">
        <v>193</v>
      </c>
      <c r="H4" s="10" t="s">
        <v>194</v>
      </c>
    </row>
    <row r="5" customFormat="false" ht="30" hidden="false" customHeight="true" outlineLevel="0" collapsed="false">
      <c r="B5" s="29" t="s">
        <v>195</v>
      </c>
      <c r="C5" s="13" t="s">
        <v>196</v>
      </c>
      <c r="D5" s="40" t="n">
        <v>3800</v>
      </c>
      <c r="E5" s="13" t="n">
        <v>3</v>
      </c>
      <c r="F5" s="13" t="s">
        <v>197</v>
      </c>
      <c r="G5" s="13" t="s">
        <v>198</v>
      </c>
      <c r="H5" s="13" t="s">
        <v>199</v>
      </c>
    </row>
    <row r="6" customFormat="false" ht="27.75" hidden="false" customHeight="true" outlineLevel="0" collapsed="false">
      <c r="B6" s="16"/>
      <c r="C6" s="16"/>
      <c r="D6" s="41"/>
      <c r="E6" s="16"/>
      <c r="F6" s="16"/>
      <c r="G6" s="16"/>
      <c r="H6" s="16"/>
    </row>
    <row r="7" customFormat="false" ht="27.75" hidden="false" customHeight="true" outlineLevel="0" collapsed="false">
      <c r="B7" s="16"/>
      <c r="C7" s="16"/>
      <c r="D7" s="41"/>
      <c r="E7" s="16"/>
      <c r="F7" s="16"/>
      <c r="G7" s="16"/>
      <c r="H7" s="16"/>
    </row>
    <row r="8" customFormat="false" ht="27.75" hidden="false" customHeight="true" outlineLevel="0" collapsed="false">
      <c r="B8" s="16"/>
      <c r="C8" s="16"/>
      <c r="D8" s="41"/>
      <c r="E8" s="16"/>
      <c r="F8" s="16"/>
      <c r="G8" s="16"/>
      <c r="H8" s="16"/>
    </row>
    <row r="9" customFormat="false" ht="27.75" hidden="false" customHeight="true" outlineLevel="0" collapsed="false">
      <c r="B9" s="16"/>
      <c r="C9" s="16"/>
      <c r="D9" s="41"/>
      <c r="E9" s="16"/>
      <c r="F9" s="16"/>
      <c r="G9" s="16"/>
      <c r="H9" s="16"/>
    </row>
    <row r="10" customFormat="false" ht="27.75" hidden="false" customHeight="true" outlineLevel="0" collapsed="false">
      <c r="B10" s="16"/>
      <c r="C10" s="16"/>
      <c r="D10" s="41"/>
      <c r="E10" s="16"/>
      <c r="F10" s="16"/>
      <c r="G10" s="16"/>
      <c r="H10" s="16"/>
    </row>
    <row r="11" customFormat="false" ht="27.75" hidden="false" customHeight="true" outlineLevel="0" collapsed="false">
      <c r="B11" s="16"/>
      <c r="C11" s="16"/>
      <c r="D11" s="41"/>
      <c r="E11" s="16"/>
      <c r="F11" s="16"/>
      <c r="G11" s="16"/>
      <c r="H11" s="16"/>
    </row>
    <row r="12" customFormat="false" ht="27.75" hidden="false" customHeight="true" outlineLevel="0" collapsed="false">
      <c r="B12" s="16"/>
      <c r="C12" s="16"/>
      <c r="D12" s="41"/>
      <c r="E12" s="16"/>
      <c r="F12" s="16"/>
      <c r="G12" s="16"/>
      <c r="H12" s="16"/>
    </row>
    <row r="13" customFormat="false" ht="27.75" hidden="false" customHeight="true" outlineLevel="0" collapsed="false">
      <c r="B13" s="16"/>
      <c r="C13" s="16"/>
      <c r="D13" s="41"/>
      <c r="E13" s="16"/>
      <c r="F13" s="16"/>
      <c r="G13" s="16"/>
      <c r="H13" s="16"/>
    </row>
    <row r="14" customFormat="false" ht="27.75" hidden="false" customHeight="true" outlineLevel="0" collapsed="false">
      <c r="B14" s="16"/>
      <c r="C14" s="16"/>
      <c r="D14" s="41"/>
      <c r="E14" s="16"/>
      <c r="F14" s="16"/>
      <c r="G14" s="16"/>
      <c r="H14" s="16"/>
    </row>
    <row r="15" customFormat="false" ht="27.75" hidden="false" customHeight="true" outlineLevel="0" collapsed="false">
      <c r="B15" s="16"/>
      <c r="C15" s="16"/>
      <c r="D15" s="41"/>
      <c r="E15" s="16"/>
      <c r="F15" s="16"/>
      <c r="G15" s="16"/>
      <c r="H15" s="16"/>
    </row>
    <row r="16" customFormat="false" ht="27.75" hidden="false" customHeight="true" outlineLevel="0" collapsed="false">
      <c r="B16" s="16"/>
      <c r="C16" s="16"/>
      <c r="D16" s="41"/>
      <c r="E16" s="16"/>
      <c r="F16" s="16"/>
      <c r="G16" s="16"/>
      <c r="H16" s="16"/>
    </row>
    <row r="17" customFormat="false" ht="27.75" hidden="false" customHeight="true" outlineLevel="0" collapsed="false">
      <c r="B17" s="16"/>
      <c r="C17" s="16"/>
      <c r="D17" s="41"/>
      <c r="E17" s="16"/>
      <c r="F17" s="16"/>
      <c r="G17" s="16"/>
      <c r="H17" s="16"/>
    </row>
    <row r="18" customFormat="false" ht="27.75" hidden="false" customHeight="true" outlineLevel="0" collapsed="false">
      <c r="B18" s="16"/>
      <c r="C18" s="16"/>
      <c r="D18" s="41"/>
      <c r="E18" s="16"/>
      <c r="F18" s="16"/>
      <c r="G18" s="16"/>
      <c r="H18" s="16"/>
    </row>
    <row r="19" customFormat="false" ht="27.75" hidden="false" customHeight="true" outlineLevel="0" collapsed="false">
      <c r="B19" s="16"/>
      <c r="C19" s="16"/>
      <c r="D19" s="41"/>
      <c r="E19" s="16"/>
      <c r="F19" s="16"/>
      <c r="G19" s="16"/>
      <c r="H19" s="16"/>
    </row>
    <row r="21" customFormat="false" ht="15" hidden="false" customHeight="false" outlineLevel="0" collapsed="false">
      <c r="B21" s="18" t="s">
        <v>200</v>
      </c>
      <c r="D21" s="42" t="n">
        <f aca="false">SUM(D6:D19)</f>
        <v>0</v>
      </c>
    </row>
    <row r="22" customFormat="false" ht="15" hidden="false" customHeight="false" outlineLevel="0" collapsed="false">
      <c r="B22" s="39" t="s">
        <v>201</v>
      </c>
      <c r="D22" s="43" t="n">
        <f aca="false">D21*12</f>
        <v>0</v>
      </c>
    </row>
    <row r="24" customFormat="false" ht="15" hidden="false" customHeight="false" outlineLevel="0" collapsed="false">
      <c r="B24" s="38" t="s">
        <v>202</v>
      </c>
    </row>
  </sheetData>
  <mergeCells count="2">
    <mergeCell ref="A1:H1"/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4"/>
    <col collapsed="false" customWidth="true" hidden="false" outlineLevel="0" max="3" min="3" style="0" width="40"/>
    <col collapsed="false" customWidth="true" hidden="false" outlineLevel="0" max="6" min="4" style="0" width="16"/>
    <col collapsed="false" customWidth="true" hidden="false" outlineLevel="0" max="7" min="7" style="0" width="18"/>
  </cols>
  <sheetData>
    <row r="1" customFormat="false" ht="25.5" hidden="false" customHeight="true" outlineLevel="0" collapsed="false">
      <c r="A1" s="1" t="s">
        <v>203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B2" s="21" t="s">
        <v>204</v>
      </c>
      <c r="C2" s="21"/>
      <c r="D2" s="21"/>
      <c r="E2" s="21"/>
      <c r="F2" s="21"/>
      <c r="G2" s="21"/>
    </row>
    <row r="4" customFormat="false" ht="31.5" hidden="false" customHeight="true" outlineLevel="0" collapsed="false">
      <c r="B4" s="10" t="s">
        <v>205</v>
      </c>
      <c r="C4" s="10" t="s">
        <v>206</v>
      </c>
      <c r="D4" s="10" t="s">
        <v>207</v>
      </c>
      <c r="E4" s="11" t="s">
        <v>208</v>
      </c>
      <c r="F4" s="11" t="s">
        <v>209</v>
      </c>
      <c r="G4" s="10" t="s">
        <v>210</v>
      </c>
    </row>
    <row r="5" customFormat="false" ht="31.5" hidden="false" customHeight="true" outlineLevel="0" collapsed="false">
      <c r="B5" s="32" t="s">
        <v>211</v>
      </c>
      <c r="C5" s="44" t="s">
        <v>212</v>
      </c>
      <c r="D5" s="22" t="n">
        <v>20</v>
      </c>
      <c r="E5" s="22" t="n">
        <v>7</v>
      </c>
      <c r="F5" s="22"/>
      <c r="G5" s="45" t="s">
        <v>197</v>
      </c>
    </row>
    <row r="6" customFormat="false" ht="31.5" hidden="false" customHeight="true" outlineLevel="0" collapsed="false">
      <c r="B6" s="32" t="s">
        <v>213</v>
      </c>
      <c r="C6" s="44" t="s">
        <v>214</v>
      </c>
      <c r="D6" s="22" t="n">
        <v>3</v>
      </c>
      <c r="E6" s="22" t="n">
        <v>1</v>
      </c>
      <c r="F6" s="22"/>
      <c r="G6" s="45" t="s">
        <v>182</v>
      </c>
    </row>
    <row r="7" customFormat="false" ht="31.5" hidden="false" customHeight="true" outlineLevel="0" collapsed="false">
      <c r="B7" s="32" t="s">
        <v>215</v>
      </c>
      <c r="C7" s="44" t="s">
        <v>216</v>
      </c>
      <c r="D7" s="22" t="n">
        <v>1</v>
      </c>
      <c r="E7" s="22" t="n">
        <v>3</v>
      </c>
      <c r="F7" s="22"/>
      <c r="G7" s="45" t="s">
        <v>197</v>
      </c>
    </row>
    <row r="8" customFormat="false" ht="31.5" hidden="false" customHeight="true" outlineLevel="0" collapsed="false">
      <c r="B8" s="32" t="s">
        <v>217</v>
      </c>
      <c r="C8" s="44" t="s">
        <v>218</v>
      </c>
      <c r="D8" s="22"/>
      <c r="E8" s="22"/>
      <c r="F8" s="22"/>
      <c r="G8" s="45" t="s">
        <v>197</v>
      </c>
    </row>
    <row r="11" customFormat="false" ht="15" hidden="false" customHeight="false" outlineLevel="0" collapsed="false">
      <c r="B11" s="7" t="s">
        <v>219</v>
      </c>
      <c r="D11" s="46" t="n">
        <v>3000</v>
      </c>
    </row>
    <row r="12" customFormat="false" ht="15" hidden="false" customHeight="false" outlineLevel="0" collapsed="false">
      <c r="B12" s="7" t="s">
        <v>220</v>
      </c>
      <c r="D12" s="47" t="n">
        <f aca="false">⑫権限・費用管理表!D21</f>
        <v>0</v>
      </c>
    </row>
    <row r="13" customFormat="false" ht="15" hidden="false" customHeight="false" outlineLevel="0" collapsed="false">
      <c r="B13" s="2" t="s">
        <v>221</v>
      </c>
      <c r="D13" s="48" t="str">
        <f aca="false">IF(COUNT(D5,F5)=2,(D5-F5)*D11-D12,"")</f>
        <v/>
      </c>
    </row>
    <row r="14" customFormat="false" ht="15" hidden="false" customHeight="false" outlineLevel="0" collapsed="false">
      <c r="B14" s="39" t="s">
        <v>222</v>
      </c>
      <c r="D14" s="47" t="str">
        <f aca="false">IF(D13="","",D13*12)</f>
        <v/>
      </c>
    </row>
    <row r="16" customFormat="false" ht="15" hidden="false" customHeight="false" outlineLevel="0" collapsed="false">
      <c r="B16" s="31" t="s">
        <v>223</v>
      </c>
    </row>
  </sheetData>
  <mergeCells count="2">
    <mergeCell ref="A1:G1"/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34"/>
    <col collapsed="false" customWidth="true" hidden="false" outlineLevel="0" max="4" min="4" style="0" width="40"/>
    <col collapsed="false" customWidth="true" hidden="false" outlineLevel="0" max="5" min="5" style="0" width="12"/>
    <col collapsed="false" customWidth="true" hidden="false" outlineLevel="0" max="6" min="6" style="0" width="14"/>
    <col collapsed="false" customWidth="true" hidden="false" outlineLevel="0" max="7" min="7" style="0" width="8"/>
    <col collapsed="false" customWidth="true" hidden="false" outlineLevel="0" max="8" min="8" style="0" width="30"/>
  </cols>
  <sheetData>
    <row r="1" customFormat="false" ht="25.5" hidden="false" customHeight="true" outlineLevel="0" collapsed="false">
      <c r="A1" s="1" t="s">
        <v>224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B2" s="21" t="s">
        <v>225</v>
      </c>
      <c r="C2" s="21"/>
      <c r="D2" s="21"/>
      <c r="E2" s="21"/>
      <c r="F2" s="21"/>
      <c r="G2" s="21"/>
    </row>
    <row r="4" customFormat="false" ht="31.5" hidden="false" customHeight="true" outlineLevel="0" collapsed="false">
      <c r="B4" s="10" t="s">
        <v>226</v>
      </c>
      <c r="C4" s="10" t="s">
        <v>227</v>
      </c>
      <c r="D4" s="10" t="s">
        <v>228</v>
      </c>
      <c r="E4" s="10" t="s">
        <v>229</v>
      </c>
      <c r="F4" s="10" t="s">
        <v>174</v>
      </c>
      <c r="G4" s="10" t="s">
        <v>230</v>
      </c>
      <c r="H4" s="10" t="s">
        <v>231</v>
      </c>
    </row>
    <row r="5" customFormat="false" ht="31.5" hidden="false" customHeight="true" outlineLevel="0" collapsed="false">
      <c r="B5" s="49" t="n">
        <v>1</v>
      </c>
      <c r="C5" s="44" t="s">
        <v>232</v>
      </c>
      <c r="D5" s="44" t="s">
        <v>233</v>
      </c>
      <c r="E5" s="24" t="s">
        <v>234</v>
      </c>
      <c r="F5" s="50"/>
      <c r="G5" s="50"/>
      <c r="H5" s="51"/>
    </row>
    <row r="6" customFormat="false" ht="31.5" hidden="false" customHeight="true" outlineLevel="0" collapsed="false">
      <c r="B6" s="49" t="n">
        <v>2</v>
      </c>
      <c r="C6" s="44" t="s">
        <v>235</v>
      </c>
      <c r="D6" s="44" t="s">
        <v>236</v>
      </c>
      <c r="E6" s="24" t="s">
        <v>234</v>
      </c>
      <c r="F6" s="50"/>
      <c r="G6" s="50"/>
      <c r="H6" s="51"/>
    </row>
    <row r="7" customFormat="false" ht="31.5" hidden="false" customHeight="true" outlineLevel="0" collapsed="false">
      <c r="B7" s="49" t="n">
        <v>3</v>
      </c>
      <c r="C7" s="44" t="s">
        <v>237</v>
      </c>
      <c r="D7" s="44" t="s">
        <v>238</v>
      </c>
      <c r="E7" s="52" t="s">
        <v>239</v>
      </c>
      <c r="F7" s="50"/>
      <c r="G7" s="50"/>
      <c r="H7" s="51"/>
    </row>
    <row r="8" customFormat="false" ht="31.5" hidden="false" customHeight="true" outlineLevel="0" collapsed="false">
      <c r="B8" s="49" t="n">
        <v>4</v>
      </c>
      <c r="C8" s="44" t="s">
        <v>240</v>
      </c>
      <c r="D8" s="44" t="s">
        <v>241</v>
      </c>
      <c r="E8" s="52" t="s">
        <v>239</v>
      </c>
      <c r="F8" s="50"/>
      <c r="G8" s="50"/>
      <c r="H8" s="51"/>
    </row>
    <row r="9" customFormat="false" ht="31.5" hidden="false" customHeight="true" outlineLevel="0" collapsed="false">
      <c r="B9" s="49" t="n">
        <v>5</v>
      </c>
      <c r="C9" s="44" t="s">
        <v>242</v>
      </c>
      <c r="D9" s="44" t="s">
        <v>243</v>
      </c>
      <c r="E9" s="52" t="s">
        <v>239</v>
      </c>
      <c r="F9" s="50"/>
      <c r="G9" s="50"/>
      <c r="H9" s="51"/>
    </row>
    <row r="10" customFormat="false" ht="31.5" hidden="false" customHeight="true" outlineLevel="0" collapsed="false">
      <c r="B10" s="49" t="n">
        <v>6</v>
      </c>
      <c r="C10" s="44" t="s">
        <v>244</v>
      </c>
      <c r="D10" s="44" t="s">
        <v>245</v>
      </c>
      <c r="E10" s="24" t="s">
        <v>234</v>
      </c>
      <c r="F10" s="50"/>
      <c r="G10" s="50"/>
      <c r="H10" s="51"/>
    </row>
    <row r="11" customFormat="false" ht="31.5" hidden="false" customHeight="true" outlineLevel="0" collapsed="false">
      <c r="B11" s="49" t="n">
        <v>7</v>
      </c>
      <c r="C11" s="44" t="s">
        <v>246</v>
      </c>
      <c r="D11" s="53" t="s">
        <v>247</v>
      </c>
      <c r="E11" s="52" t="s">
        <v>239</v>
      </c>
      <c r="F11" s="50"/>
      <c r="G11" s="50"/>
      <c r="H11" s="51"/>
    </row>
    <row r="12" customFormat="false" ht="31.5" hidden="false" customHeight="true" outlineLevel="0" collapsed="false">
      <c r="B12" s="49" t="n">
        <v>8</v>
      </c>
      <c r="C12" s="44" t="s">
        <v>248</v>
      </c>
      <c r="D12" s="53" t="s">
        <v>249</v>
      </c>
      <c r="E12" s="24" t="s">
        <v>234</v>
      </c>
      <c r="F12" s="50"/>
      <c r="G12" s="50"/>
      <c r="H12" s="51"/>
    </row>
    <row r="13" customFormat="false" ht="31.5" hidden="false" customHeight="true" outlineLevel="0" collapsed="false">
      <c r="B13" s="49" t="n">
        <v>9</v>
      </c>
      <c r="C13" s="44" t="s">
        <v>250</v>
      </c>
      <c r="D13" s="44" t="s">
        <v>251</v>
      </c>
      <c r="E13" s="24" t="s">
        <v>234</v>
      </c>
      <c r="F13" s="50"/>
      <c r="G13" s="50"/>
      <c r="H13" s="51"/>
    </row>
    <row r="14" customFormat="false" ht="31.5" hidden="false" customHeight="true" outlineLevel="0" collapsed="false">
      <c r="B14" s="49" t="n">
        <v>10</v>
      </c>
      <c r="C14" s="44" t="s">
        <v>252</v>
      </c>
      <c r="D14" s="44" t="s">
        <v>253</v>
      </c>
      <c r="E14" s="24" t="s">
        <v>234</v>
      </c>
      <c r="F14" s="50"/>
      <c r="G14" s="50"/>
      <c r="H14" s="51"/>
    </row>
    <row r="15" customFormat="false" ht="31.5" hidden="false" customHeight="true" outlineLevel="0" collapsed="false">
      <c r="B15" s="49" t="n">
        <v>11</v>
      </c>
      <c r="C15" s="44" t="s">
        <v>254</v>
      </c>
      <c r="D15" s="44" t="s">
        <v>255</v>
      </c>
      <c r="E15" s="24" t="s">
        <v>234</v>
      </c>
      <c r="F15" s="50"/>
      <c r="G15" s="50"/>
      <c r="H15" s="51"/>
    </row>
    <row r="16" customFormat="false" ht="31.5" hidden="false" customHeight="true" outlineLevel="0" collapsed="false">
      <c r="B16" s="49" t="n">
        <v>12</v>
      </c>
      <c r="C16" s="44" t="s">
        <v>256</v>
      </c>
      <c r="D16" s="53" t="s">
        <v>257</v>
      </c>
      <c r="E16" s="24" t="s">
        <v>234</v>
      </c>
      <c r="F16" s="50"/>
      <c r="G16" s="50"/>
      <c r="H16" s="51"/>
    </row>
    <row r="18" customFormat="false" ht="15" hidden="false" customHeight="false" outlineLevel="0" collapsed="false">
      <c r="B18" s="38" t="s">
        <v>258</v>
      </c>
    </row>
    <row r="19" customFormat="false" ht="15" hidden="false" customHeight="false" outlineLevel="0" collapsed="false">
      <c r="B19" s="39" t="s">
        <v>259</v>
      </c>
    </row>
  </sheetData>
  <mergeCells count="2">
    <mergeCell ref="A1:G1"/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2026-09-11T16:30:37Z</dcterms:created>
  <dc:creator>openpyxl</dc:creator>
  <dc:description/>
  <dc:language>en-US</dc:language>
  <cp:lastModifiedBy/>
  <dcterms:modified xsi:type="dcterms:W3CDTF">2026-09-11T16:30:37Z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